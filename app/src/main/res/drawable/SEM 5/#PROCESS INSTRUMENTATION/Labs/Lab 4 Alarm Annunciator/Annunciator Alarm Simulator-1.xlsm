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20" windowWidth="19320" windowHeight="11760"/>
  </bookViews>
  <sheets>
    <sheet name="Sheet1" sheetId="1" r:id="rId1"/>
    <sheet name="Sheet2" sheetId="2" r:id="rId2"/>
    <sheet name="Sheet3" sheetId="3" r:id="rId3"/>
  </sheets>
  <definedNames>
    <definedName name="Acknowledge">Sheet1!$F$46</definedName>
    <definedName name="Alarm">Sheet1!$F$25</definedName>
    <definedName name="Beeper">Sheet1!$DG$25</definedName>
    <definedName name="Osc">Sheet1!$EP$68</definedName>
    <definedName name="OutPut2">Sheet1!$DZ$61</definedName>
    <definedName name="Power">Sheet1!$C$8</definedName>
    <definedName name="PrevAck">Sheet1!$E$46</definedName>
    <definedName name="PrevAlarm">Sheet1!$E$25</definedName>
    <definedName name="PrevOut1">Sheet1!$GF$51</definedName>
    <definedName name="PrevOut2">Sheet1!$GF$52</definedName>
    <definedName name="Silence">Sheet1!$F$41</definedName>
  </definedNames>
  <calcPr calcId="125725"/>
</workbook>
</file>

<file path=xl/calcChain.xml><?xml version="1.0" encoding="utf-8"?>
<calcChain xmlns="http://schemas.openxmlformats.org/spreadsheetml/2006/main">
  <c r="AI36" i="1"/>
  <c r="CD25"/>
  <c r="BL16" l="1"/>
  <c r="BM16" s="1"/>
  <c r="ES17" s="1"/>
  <c r="ET36" s="1"/>
  <c r="S68"/>
  <c r="R26"/>
  <c r="R36"/>
  <c r="BH41"/>
  <c r="CK31" l="1"/>
  <c r="CL31" s="1"/>
  <c r="R47"/>
  <c r="DG25" l="1"/>
  <c r="DK26" s="1"/>
  <c r="DL61" s="1"/>
  <c r="DZ61" s="1"/>
  <c r="FF64" s="1"/>
  <c r="FK53" s="1"/>
  <c r="FL53" s="1"/>
  <c r="EF43" l="1"/>
  <c r="EF42" s="1"/>
  <c r="ES42" s="1"/>
  <c r="FF39" s="1"/>
  <c r="FK40" s="1"/>
  <c r="FK47" s="1"/>
  <c r="FZ50" s="1"/>
</calcChain>
</file>

<file path=xl/sharedStrings.xml><?xml version="1.0" encoding="utf-8"?>
<sst xmlns="http://schemas.openxmlformats.org/spreadsheetml/2006/main" count="16" uniqueCount="11">
  <si>
    <t>S</t>
  </si>
  <si>
    <t>R</t>
  </si>
  <si>
    <t>OR</t>
  </si>
  <si>
    <t>X</t>
  </si>
  <si>
    <t>↑</t>
  </si>
  <si>
    <t>OSC</t>
  </si>
  <si>
    <t>&amp;</t>
  </si>
  <si>
    <t>%</t>
  </si>
  <si>
    <t>ALARM</t>
  </si>
  <si>
    <t>Simulation of an Alarm Circuit</t>
  </si>
  <si>
    <t>InstrumentationTools.com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</si>
</sst>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theme="1"/>
      <name val="Wingdings"/>
      <charset val="2"/>
    </font>
    <font>
      <sz val="11"/>
      <color rgb="FFFFFF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haroni"/>
      <charset val="177"/>
    </font>
    <font>
      <sz val="11"/>
      <color rgb="FF000000"/>
      <name val="Calibri"/>
      <family val="2"/>
      <scheme val="minor"/>
    </font>
    <font>
      <b/>
      <sz val="11"/>
      <color indexed="17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6" fillId="0" borderId="0" xfId="1" applyAlignment="1">
      <alignment horizontal="right"/>
    </xf>
    <xf numFmtId="0" fontId="0" fillId="0" borderId="0" xfId="0" applyAlignment="1">
      <alignment horizontal="right"/>
    </xf>
    <xf numFmtId="0" fontId="7" fillId="5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4" fillId="0" borderId="0" xfId="0" quotePrefix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/>
        <i val="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GG84"/>
  <sheetViews>
    <sheetView showGridLines="0" showRowColHeaders="0" tabSelected="1" workbookViewId="0">
      <selection activeCell="I4" sqref="I4:GC5"/>
    </sheetView>
  </sheetViews>
  <sheetFormatPr defaultRowHeight="15"/>
  <cols>
    <col min="5" max="5" width="9.140625" customWidth="1"/>
    <col min="6" max="187" width="0.5703125" customWidth="1"/>
  </cols>
  <sheetData>
    <row r="2" spans="3:187">
      <c r="F2" s="7" t="s">
        <v>9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</row>
    <row r="3" spans="3:187"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</row>
    <row r="4" spans="3:187" ht="15" customHeight="1">
      <c r="I4" s="4" t="s">
        <v>10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</row>
    <row r="5" spans="3:187" ht="23.25" customHeight="1"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</row>
    <row r="6" spans="3:187" ht="3.75" customHeight="1"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</row>
    <row r="7" spans="3:187" ht="3.75" customHeight="1"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</row>
    <row r="8" spans="3:187" ht="3.75" customHeight="1">
      <c r="C8" t="b">
        <v>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</row>
    <row r="9" spans="3:187" ht="3.75" customHeight="1"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</row>
    <row r="10" spans="3:187" ht="3.75" customHeight="1"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</row>
    <row r="11" spans="3:187" ht="3.75" customHeight="1"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</row>
    <row r="12" spans="3:187" ht="3.75" customHeight="1"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</row>
    <row r="13" spans="3:187" ht="3.75" customHeight="1"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</row>
    <row r="14" spans="3:187" ht="3.75" customHeight="1"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</row>
    <row r="15" spans="3:187" ht="3.75" customHeight="1"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</row>
    <row r="16" spans="3:187" ht="3.75" customHeight="1"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3" t="b">
        <f>Alarm</f>
        <v>0</v>
      </c>
      <c r="BM16" s="3" t="b">
        <f>BL16</f>
        <v>0</v>
      </c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</row>
    <row r="17" spans="5:187" ht="3.75" customHeight="1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3" t="b">
        <f>BM16</f>
        <v>0</v>
      </c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</row>
    <row r="18" spans="5:187" ht="3.75" customHeight="1"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3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3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</row>
    <row r="19" spans="5:187" ht="3.75" customHeight="1"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3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3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</row>
    <row r="20" spans="5:187" ht="3.75" customHeight="1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3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3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</row>
    <row r="21" spans="5:187" ht="3.75" customHeight="1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3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3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</row>
    <row r="22" spans="5:187" ht="3.75" customHeight="1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3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3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</row>
    <row r="23" spans="5:187" ht="3.75" customHeight="1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3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9" t="s">
        <v>4</v>
      </c>
      <c r="BX23" s="8"/>
      <c r="BY23" s="8"/>
      <c r="BZ23" s="8"/>
      <c r="CA23" s="8"/>
      <c r="CB23" s="8"/>
      <c r="CC23" s="8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0" t="s">
        <v>0</v>
      </c>
      <c r="DA23" s="10"/>
      <c r="DB23" s="10"/>
      <c r="DC23" s="10"/>
      <c r="DD23" s="10"/>
      <c r="DE23" s="10"/>
      <c r="DF23" s="10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7" t="s">
        <v>7</v>
      </c>
      <c r="ED23" s="8"/>
      <c r="EE23" s="8"/>
      <c r="EF23" s="8"/>
      <c r="EG23" s="8"/>
      <c r="EH23" s="8"/>
      <c r="EI23" s="8"/>
      <c r="EJ23" s="1"/>
      <c r="EK23" s="1"/>
      <c r="EL23" s="1"/>
      <c r="EM23" s="1"/>
      <c r="EN23" s="1"/>
      <c r="EO23" s="1"/>
      <c r="EP23" s="1"/>
      <c r="EQ23" s="1"/>
      <c r="ER23" s="1"/>
      <c r="ES23" s="3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</row>
    <row r="24" spans="5:187" ht="3.75" customHeight="1"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3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8"/>
      <c r="BX24" s="8"/>
      <c r="BY24" s="8"/>
      <c r="BZ24" s="8"/>
      <c r="CA24" s="8"/>
      <c r="CB24" s="8"/>
      <c r="CC24" s="8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0"/>
      <c r="DA24" s="10"/>
      <c r="DB24" s="10"/>
      <c r="DC24" s="10"/>
      <c r="DD24" s="10"/>
      <c r="DE24" s="10"/>
      <c r="DF24" s="10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8"/>
      <c r="ED24" s="8"/>
      <c r="EE24" s="8"/>
      <c r="EF24" s="8"/>
      <c r="EG24" s="8"/>
      <c r="EH24" s="8"/>
      <c r="EI24" s="8"/>
      <c r="EJ24" s="1"/>
      <c r="EK24" s="1"/>
      <c r="EL24" s="1"/>
      <c r="EM24" s="1"/>
      <c r="EN24" s="1"/>
      <c r="EO24" s="1"/>
      <c r="EP24" s="1"/>
      <c r="EQ24" s="1"/>
      <c r="ER24" s="1"/>
      <c r="ES24" s="3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</row>
    <row r="25" spans="5:187" ht="3.75" customHeight="1">
      <c r="E25" s="2" t="b">
        <v>0</v>
      </c>
      <c r="F25" s="3" t="b"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8"/>
      <c r="BX25" s="8"/>
      <c r="BY25" s="8"/>
      <c r="BZ25" s="8"/>
      <c r="CA25" s="8"/>
      <c r="CB25" s="8"/>
      <c r="CC25" s="8"/>
      <c r="CD25" s="3" t="b">
        <f>AND(Alarm,NOT(PrevAlarm))</f>
        <v>0</v>
      </c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10"/>
      <c r="DA25" s="10"/>
      <c r="DB25" s="10"/>
      <c r="DC25" s="10"/>
      <c r="DD25" s="10"/>
      <c r="DE25" s="10"/>
      <c r="DF25" s="10"/>
      <c r="DG25" s="3" t="b">
        <f>AND(NOT(CL31),OR(CD25,PrevOut1),Power)</f>
        <v>0</v>
      </c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8"/>
      <c r="ED25" s="8"/>
      <c r="EE25" s="8"/>
      <c r="EF25" s="8"/>
      <c r="EG25" s="8"/>
      <c r="EH25" s="8"/>
      <c r="EI25" s="8"/>
      <c r="EJ25" s="1"/>
      <c r="EK25" s="1"/>
      <c r="EL25" s="1"/>
      <c r="EM25" s="1"/>
      <c r="EN25" s="1"/>
      <c r="EO25" s="1"/>
      <c r="EP25" s="1"/>
      <c r="EQ25" s="1"/>
      <c r="ER25" s="1"/>
      <c r="ES25" s="3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</row>
    <row r="26" spans="5:187" ht="3.75" customHeight="1"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" t="b">
        <f>Alarm</f>
        <v>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8"/>
      <c r="BX26" s="8"/>
      <c r="BY26" s="8"/>
      <c r="BZ26" s="8"/>
      <c r="CA26" s="8"/>
      <c r="CB26" s="8"/>
      <c r="CC26" s="8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0"/>
      <c r="DA26" s="10"/>
      <c r="DB26" s="10"/>
      <c r="DC26" s="10"/>
      <c r="DD26" s="10"/>
      <c r="DE26" s="10"/>
      <c r="DF26" s="10"/>
      <c r="DG26" s="1"/>
      <c r="DH26" s="1"/>
      <c r="DI26" s="1"/>
      <c r="DJ26" s="1"/>
      <c r="DK26" s="3" t="b">
        <f>DG25</f>
        <v>0</v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8"/>
      <c r="ED26" s="8"/>
      <c r="EE26" s="8"/>
      <c r="EF26" s="8"/>
      <c r="EG26" s="8"/>
      <c r="EH26" s="8"/>
      <c r="EI26" s="8"/>
      <c r="EJ26" s="1"/>
      <c r="EK26" s="1"/>
      <c r="EL26" s="1"/>
      <c r="EM26" s="1"/>
      <c r="EN26" s="1"/>
      <c r="EO26" s="1"/>
      <c r="EP26" s="1"/>
      <c r="EQ26" s="1"/>
      <c r="ER26" s="1"/>
      <c r="ES26" s="3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</row>
    <row r="27" spans="5:187" ht="3.75" customHeight="1"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8"/>
      <c r="BX27" s="8"/>
      <c r="BY27" s="8"/>
      <c r="BZ27" s="8"/>
      <c r="CA27" s="8"/>
      <c r="CB27" s="8"/>
      <c r="CC27" s="8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1"/>
      <c r="DA27" s="11"/>
      <c r="DB27" s="11"/>
      <c r="DC27" s="11"/>
      <c r="DD27" s="11"/>
      <c r="DE27" s="11"/>
      <c r="DF27" s="11"/>
      <c r="DG27" s="1"/>
      <c r="DH27" s="1"/>
      <c r="DI27" s="1"/>
      <c r="DJ27" s="1"/>
      <c r="DK27" s="3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8"/>
      <c r="ED27" s="8"/>
      <c r="EE27" s="8"/>
      <c r="EF27" s="8"/>
      <c r="EG27" s="8"/>
      <c r="EH27" s="8"/>
      <c r="EI27" s="8"/>
      <c r="EJ27" s="1"/>
      <c r="EK27" s="1"/>
      <c r="EL27" s="1"/>
      <c r="EM27" s="1"/>
      <c r="EN27" s="1"/>
      <c r="EO27" s="1"/>
      <c r="EP27" s="1"/>
      <c r="EQ27" s="1"/>
      <c r="ER27" s="1"/>
      <c r="ES27" s="3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</row>
    <row r="28" spans="5:187" ht="3.75" customHeight="1"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3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2" t="s">
        <v>1</v>
      </c>
      <c r="DA28" s="12"/>
      <c r="DB28" s="12"/>
      <c r="DC28" s="12"/>
      <c r="DD28" s="12"/>
      <c r="DE28" s="12"/>
      <c r="DF28" s="12"/>
      <c r="DG28" s="1"/>
      <c r="DH28" s="1"/>
      <c r="DI28" s="1"/>
      <c r="DJ28" s="1"/>
      <c r="DK28" s="3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3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</row>
    <row r="29" spans="5:187" ht="3.75" customHeight="1"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3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3"/>
      <c r="DA29" s="13"/>
      <c r="DB29" s="13"/>
      <c r="DC29" s="13"/>
      <c r="DD29" s="13"/>
      <c r="DE29" s="13"/>
      <c r="DF29" s="13"/>
      <c r="DG29" s="1"/>
      <c r="DH29" s="1"/>
      <c r="DI29" s="1"/>
      <c r="DJ29" s="1"/>
      <c r="DK29" s="3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3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</row>
    <row r="30" spans="5:187" ht="3.75" customHeight="1"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3"/>
      <c r="DA30" s="13"/>
      <c r="DB30" s="13"/>
      <c r="DC30" s="13"/>
      <c r="DD30" s="13"/>
      <c r="DE30" s="13"/>
      <c r="DF30" s="13"/>
      <c r="DG30" s="1"/>
      <c r="DH30" s="1"/>
      <c r="DI30" s="1"/>
      <c r="DJ30" s="1"/>
      <c r="DK30" s="3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3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</row>
    <row r="31" spans="5:187" ht="3.75" customHeight="1"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3" t="b">
        <f>BH41</f>
        <v>0</v>
      </c>
      <c r="CL31" s="3" t="b">
        <f>CK31</f>
        <v>0</v>
      </c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13"/>
      <c r="DA31" s="13"/>
      <c r="DB31" s="13"/>
      <c r="DC31" s="13"/>
      <c r="DD31" s="13"/>
      <c r="DE31" s="13"/>
      <c r="DF31" s="13"/>
      <c r="DG31" s="1"/>
      <c r="DH31" s="1"/>
      <c r="DI31" s="1"/>
      <c r="DJ31" s="1"/>
      <c r="DK31" s="3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3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</row>
    <row r="32" spans="5:187" ht="3.75" customHeight="1"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3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3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3"/>
      <c r="DA32" s="13"/>
      <c r="DB32" s="13"/>
      <c r="DC32" s="13"/>
      <c r="DD32" s="13"/>
      <c r="DE32" s="13"/>
      <c r="DF32" s="13"/>
      <c r="DG32" s="1"/>
      <c r="DH32" s="1"/>
      <c r="DI32" s="1"/>
      <c r="DJ32" s="1"/>
      <c r="DK32" s="3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3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</row>
    <row r="33" spans="5:189" ht="3.75" customHeight="1"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3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3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3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3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</row>
    <row r="34" spans="5:189" ht="3.75" customHeight="1"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3"/>
      <c r="S34" s="1"/>
      <c r="T34" s="1"/>
      <c r="U34" s="1"/>
      <c r="V34" s="1"/>
      <c r="W34" s="1"/>
      <c r="X34" s="1"/>
      <c r="Y34" s="1"/>
      <c r="Z34" s="1"/>
      <c r="AA34" s="1"/>
      <c r="AB34" s="8" t="s">
        <v>3</v>
      </c>
      <c r="AC34" s="8"/>
      <c r="AD34" s="8"/>
      <c r="AE34" s="8"/>
      <c r="AF34" s="8"/>
      <c r="AG34" s="8"/>
      <c r="AH34" s="8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8"/>
      <c r="BB34" s="8"/>
      <c r="BC34" s="8"/>
      <c r="BD34" s="8"/>
      <c r="BE34" s="8"/>
      <c r="BF34" s="8"/>
      <c r="BG34" s="8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3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3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3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</row>
    <row r="35" spans="5:189" ht="3.75" customHeight="1"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"/>
      <c r="S35" s="1"/>
      <c r="T35" s="1"/>
      <c r="U35" s="1"/>
      <c r="V35" s="1"/>
      <c r="W35" s="1"/>
      <c r="X35" s="1"/>
      <c r="Y35" s="1"/>
      <c r="Z35" s="1"/>
      <c r="AA35" s="1"/>
      <c r="AB35" s="8"/>
      <c r="AC35" s="8"/>
      <c r="AD35" s="8"/>
      <c r="AE35" s="8"/>
      <c r="AF35" s="8"/>
      <c r="AG35" s="8"/>
      <c r="AH35" s="8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8"/>
      <c r="BB35" s="8"/>
      <c r="BC35" s="8"/>
      <c r="BD35" s="8"/>
      <c r="BE35" s="8"/>
      <c r="BF35" s="8"/>
      <c r="BG35" s="8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3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3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3"/>
      <c r="ET35" s="1"/>
      <c r="EU35" s="1"/>
      <c r="EV35" s="1"/>
      <c r="EW35" s="1"/>
      <c r="EX35" s="1"/>
      <c r="EY35" s="8" t="s">
        <v>6</v>
      </c>
      <c r="EZ35" s="8"/>
      <c r="FA35" s="8"/>
      <c r="FB35" s="8"/>
      <c r="FC35" s="8"/>
      <c r="FD35" s="8"/>
      <c r="FE35" s="8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</row>
    <row r="36" spans="5:189" ht="3.75" customHeight="1"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" t="b">
        <f>Alarm</f>
        <v>0</v>
      </c>
      <c r="S36" s="3"/>
      <c r="T36" s="3"/>
      <c r="U36" s="3"/>
      <c r="V36" s="3"/>
      <c r="W36" s="3"/>
      <c r="X36" s="3"/>
      <c r="Y36" s="3"/>
      <c r="Z36" s="3"/>
      <c r="AA36" s="3"/>
      <c r="AB36" s="8"/>
      <c r="AC36" s="8"/>
      <c r="AD36" s="8"/>
      <c r="AE36" s="8"/>
      <c r="AF36" s="8"/>
      <c r="AG36" s="8"/>
      <c r="AH36" s="8"/>
      <c r="AI36" s="3" t="b">
        <f>AND(Power,NOT(Alarm))</f>
        <v>0</v>
      </c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8"/>
      <c r="BB36" s="8"/>
      <c r="BC36" s="8"/>
      <c r="BD36" s="8"/>
      <c r="BE36" s="8"/>
      <c r="BF36" s="8"/>
      <c r="BG36" s="8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3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3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3"/>
      <c r="ET36" s="3" t="b">
        <f>ES17</f>
        <v>0</v>
      </c>
      <c r="EU36" s="3"/>
      <c r="EV36" s="3"/>
      <c r="EW36" s="3"/>
      <c r="EX36" s="3"/>
      <c r="EY36" s="8"/>
      <c r="EZ36" s="8"/>
      <c r="FA36" s="8"/>
      <c r="FB36" s="8"/>
      <c r="FC36" s="8"/>
      <c r="FD36" s="8"/>
      <c r="FE36" s="8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</row>
    <row r="37" spans="5:189" ht="3.75" customHeight="1"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8"/>
      <c r="AC37" s="8"/>
      <c r="AD37" s="8"/>
      <c r="AE37" s="8"/>
      <c r="AF37" s="8"/>
      <c r="AG37" s="8"/>
      <c r="AH37" s="8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8"/>
      <c r="BB37" s="8"/>
      <c r="BC37" s="8"/>
      <c r="BD37" s="8"/>
      <c r="BE37" s="8"/>
      <c r="BF37" s="8"/>
      <c r="BG37" s="8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3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3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8"/>
      <c r="EZ37" s="8"/>
      <c r="FA37" s="8"/>
      <c r="FB37" s="8"/>
      <c r="FC37" s="8"/>
      <c r="FD37" s="8"/>
      <c r="FE37" s="8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</row>
    <row r="38" spans="5:189" ht="3.75" customHeight="1"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8"/>
      <c r="AC38" s="8"/>
      <c r="AD38" s="8"/>
      <c r="AE38" s="8"/>
      <c r="AF38" s="8"/>
      <c r="AG38" s="8"/>
      <c r="AH38" s="8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8"/>
      <c r="BB38" s="8"/>
      <c r="BC38" s="8"/>
      <c r="BD38" s="8"/>
      <c r="BE38" s="8"/>
      <c r="BF38" s="8"/>
      <c r="BG38" s="8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3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3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8"/>
      <c r="EZ38" s="8"/>
      <c r="FA38" s="8"/>
      <c r="FB38" s="8"/>
      <c r="FC38" s="8"/>
      <c r="FD38" s="8"/>
      <c r="FE38" s="8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</row>
    <row r="39" spans="5:189" ht="3.75" customHeight="1"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8" t="s">
        <v>2</v>
      </c>
      <c r="BB39" s="8"/>
      <c r="BC39" s="8"/>
      <c r="BD39" s="8"/>
      <c r="BE39" s="8"/>
      <c r="BF39" s="8"/>
      <c r="BG39" s="8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3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3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8"/>
      <c r="EZ39" s="8"/>
      <c r="FA39" s="8"/>
      <c r="FB39" s="8"/>
      <c r="FC39" s="8"/>
      <c r="FD39" s="8"/>
      <c r="FE39" s="8"/>
      <c r="FF39" s="3" t="b">
        <f>AND(ET36,ES42)</f>
        <v>0</v>
      </c>
      <c r="FG39" s="3"/>
      <c r="FH39" s="3"/>
      <c r="FI39" s="3"/>
      <c r="FJ39" s="3"/>
      <c r="FK39" s="3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</row>
    <row r="40" spans="5:189" ht="3.75" customHeight="1"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8"/>
      <c r="BB40" s="8"/>
      <c r="BC40" s="8"/>
      <c r="BD40" s="8"/>
      <c r="BE40" s="8"/>
      <c r="BF40" s="8"/>
      <c r="BG40" s="8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3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3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8" t="s">
        <v>3</v>
      </c>
      <c r="EM40" s="8"/>
      <c r="EN40" s="8"/>
      <c r="EO40" s="8"/>
      <c r="EP40" s="8"/>
      <c r="EQ40" s="8"/>
      <c r="ER40" s="8"/>
      <c r="ES40" s="1"/>
      <c r="ET40" s="1"/>
      <c r="EU40" s="1"/>
      <c r="EV40" s="1"/>
      <c r="EW40" s="1"/>
      <c r="EX40" s="1"/>
      <c r="EY40" s="8"/>
      <c r="EZ40" s="8"/>
      <c r="FA40" s="8"/>
      <c r="FB40" s="8"/>
      <c r="FC40" s="8"/>
      <c r="FD40" s="8"/>
      <c r="FE40" s="8"/>
      <c r="FF40" s="1"/>
      <c r="FG40" s="1"/>
      <c r="FH40" s="1"/>
      <c r="FI40" s="1"/>
      <c r="FJ40" s="1"/>
      <c r="FK40" s="3" t="b">
        <f>FF39</f>
        <v>0</v>
      </c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</row>
    <row r="41" spans="5:189" ht="3.75" customHeight="1">
      <c r="E41" s="2"/>
      <c r="F41" s="3" t="b"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8"/>
      <c r="BB41" s="8"/>
      <c r="BC41" s="8"/>
      <c r="BD41" s="8"/>
      <c r="BE41" s="8"/>
      <c r="BF41" s="8"/>
      <c r="BG41" s="8"/>
      <c r="BH41" s="3" t="b">
        <f>OR(AI36,F41,F46)</f>
        <v>0</v>
      </c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3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8"/>
      <c r="EM41" s="8"/>
      <c r="EN41" s="8"/>
      <c r="EO41" s="8"/>
      <c r="EP41" s="8"/>
      <c r="EQ41" s="8"/>
      <c r="ER41" s="8"/>
      <c r="ES41" s="1"/>
      <c r="ET41" s="1"/>
      <c r="EU41" s="1"/>
      <c r="EV41" s="1"/>
      <c r="EW41" s="1"/>
      <c r="EX41" s="1"/>
      <c r="EY41" s="8"/>
      <c r="EZ41" s="8"/>
      <c r="FA41" s="8"/>
      <c r="FB41" s="8"/>
      <c r="FC41" s="8"/>
      <c r="FD41" s="8"/>
      <c r="FE41" s="8"/>
      <c r="FF41" s="1"/>
      <c r="FG41" s="1"/>
      <c r="FH41" s="1"/>
      <c r="FI41" s="1"/>
      <c r="FJ41" s="1"/>
      <c r="FK41" s="3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</row>
    <row r="42" spans="5:189" ht="3.75" customHeight="1"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8"/>
      <c r="BB42" s="8"/>
      <c r="BC42" s="8"/>
      <c r="BD42" s="8"/>
      <c r="BE42" s="8"/>
      <c r="BF42" s="8"/>
      <c r="BG42" s="8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3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3" t="b">
        <f>EF43</f>
        <v>0</v>
      </c>
      <c r="EG42" s="3"/>
      <c r="EH42" s="3"/>
      <c r="EI42" s="3"/>
      <c r="EJ42" s="3"/>
      <c r="EK42" s="3"/>
      <c r="EL42" s="8"/>
      <c r="EM42" s="8"/>
      <c r="EN42" s="8"/>
      <c r="EO42" s="8"/>
      <c r="EP42" s="8"/>
      <c r="EQ42" s="8"/>
      <c r="ER42" s="8"/>
      <c r="ES42" s="3" t="b">
        <f>AND(Power,NOT(EF42))</f>
        <v>0</v>
      </c>
      <c r="ET42" s="3"/>
      <c r="EU42" s="3"/>
      <c r="EV42" s="3"/>
      <c r="EW42" s="3"/>
      <c r="EX42" s="3"/>
      <c r="EY42" s="8"/>
      <c r="EZ42" s="8"/>
      <c r="FA42" s="8"/>
      <c r="FB42" s="8"/>
      <c r="FC42" s="8"/>
      <c r="FD42" s="8"/>
      <c r="FE42" s="8"/>
      <c r="FF42" s="1"/>
      <c r="FG42" s="1"/>
      <c r="FH42" s="1"/>
      <c r="FI42" s="1"/>
      <c r="FJ42" s="1"/>
      <c r="FK42" s="3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</row>
    <row r="43" spans="5:189" ht="3.75" customHeight="1"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8"/>
      <c r="BB43" s="8"/>
      <c r="BC43" s="8"/>
      <c r="BD43" s="8"/>
      <c r="BE43" s="8"/>
      <c r="BF43" s="8"/>
      <c r="BG43" s="8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3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3" t="b">
        <f>DZ61</f>
        <v>0</v>
      </c>
      <c r="EG43" s="1"/>
      <c r="EH43" s="1"/>
      <c r="EI43" s="1"/>
      <c r="EJ43" s="1"/>
      <c r="EK43" s="1"/>
      <c r="EL43" s="8"/>
      <c r="EM43" s="8"/>
      <c r="EN43" s="8"/>
      <c r="EO43" s="8"/>
      <c r="EP43" s="8"/>
      <c r="EQ43" s="8"/>
      <c r="ER43" s="8"/>
      <c r="ES43" s="1"/>
      <c r="ET43" s="1"/>
      <c r="EU43" s="1"/>
      <c r="EV43" s="1"/>
      <c r="EW43" s="1"/>
      <c r="EX43" s="1"/>
      <c r="EY43" s="8"/>
      <c r="EZ43" s="8"/>
      <c r="FA43" s="8"/>
      <c r="FB43" s="8"/>
      <c r="FC43" s="8"/>
      <c r="FD43" s="8"/>
      <c r="FE43" s="8"/>
      <c r="FF43" s="1"/>
      <c r="FG43" s="1"/>
      <c r="FH43" s="1"/>
      <c r="FI43" s="1"/>
      <c r="FJ43" s="1"/>
      <c r="FK43" s="3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</row>
    <row r="44" spans="5:189" ht="3.75" customHeight="1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8"/>
      <c r="BB44" s="8"/>
      <c r="BC44" s="8"/>
      <c r="BD44" s="8"/>
      <c r="BE44" s="8"/>
      <c r="BF44" s="8"/>
      <c r="BG44" s="8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3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3"/>
      <c r="EG44" s="1"/>
      <c r="EH44" s="1"/>
      <c r="EI44" s="1"/>
      <c r="EJ44" s="1"/>
      <c r="EK44" s="1"/>
      <c r="EL44" s="8"/>
      <c r="EM44" s="8"/>
      <c r="EN44" s="8"/>
      <c r="EO44" s="8"/>
      <c r="EP44" s="8"/>
      <c r="EQ44" s="8"/>
      <c r="ER44" s="8"/>
      <c r="ES44" s="1"/>
      <c r="ET44" s="1"/>
      <c r="EU44" s="1"/>
      <c r="EV44" s="1"/>
      <c r="EW44" s="1"/>
      <c r="EX44" s="1"/>
      <c r="EY44" s="8"/>
      <c r="EZ44" s="8"/>
      <c r="FA44" s="8"/>
      <c r="FB44" s="8"/>
      <c r="FC44" s="8"/>
      <c r="FD44" s="8"/>
      <c r="FE44" s="8"/>
      <c r="FF44" s="1"/>
      <c r="FG44" s="1"/>
      <c r="FH44" s="1"/>
      <c r="FI44" s="1"/>
      <c r="FJ44" s="1"/>
      <c r="FK44" s="3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</row>
    <row r="45" spans="5:189" ht="3.75" customHeight="1" thickBot="1"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8"/>
      <c r="BB45" s="8"/>
      <c r="BC45" s="8"/>
      <c r="BD45" s="8"/>
      <c r="BE45" s="8"/>
      <c r="BF45" s="8"/>
      <c r="BG45" s="8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3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3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3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</row>
    <row r="46" spans="5:189" ht="3.75" customHeight="1">
      <c r="E46" s="2" t="b">
        <v>0</v>
      </c>
      <c r="F46" s="3" t="b"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8"/>
      <c r="BB46" s="8"/>
      <c r="BC46" s="8"/>
      <c r="BD46" s="8"/>
      <c r="BE46" s="8"/>
      <c r="BF46" s="8"/>
      <c r="BG46" s="8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3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3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3"/>
      <c r="FL46" s="1"/>
      <c r="FM46" s="1"/>
      <c r="FN46" s="1"/>
      <c r="FO46" s="1"/>
      <c r="FP46" s="1"/>
      <c r="FQ46" s="1"/>
      <c r="FR46" s="8" t="s">
        <v>2</v>
      </c>
      <c r="FS46" s="8"/>
      <c r="FT46" s="8"/>
      <c r="FU46" s="8"/>
      <c r="FV46" s="8"/>
      <c r="FW46" s="8"/>
      <c r="FX46" s="8"/>
      <c r="FZ46" s="1"/>
      <c r="GA46" s="1"/>
      <c r="GB46" s="1"/>
      <c r="GC46" s="1"/>
      <c r="GD46" s="1"/>
      <c r="GE46" s="1"/>
      <c r="GG46" s="14" t="s">
        <v>8</v>
      </c>
    </row>
    <row r="47" spans="5:189" ht="3.75" customHeight="1"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3" t="b">
        <f>F46</f>
        <v>0</v>
      </c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8"/>
      <c r="BB47" s="8"/>
      <c r="BC47" s="8"/>
      <c r="BD47" s="8"/>
      <c r="BE47" s="8"/>
      <c r="BF47" s="8"/>
      <c r="BG47" s="8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3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3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3" t="b">
        <f>FK40</f>
        <v>0</v>
      </c>
      <c r="FL47" s="3"/>
      <c r="FM47" s="3"/>
      <c r="FN47" s="3"/>
      <c r="FO47" s="3"/>
      <c r="FP47" s="3"/>
      <c r="FQ47" s="3"/>
      <c r="FR47" s="8"/>
      <c r="FS47" s="8"/>
      <c r="FT47" s="8"/>
      <c r="FU47" s="8"/>
      <c r="FV47" s="8"/>
      <c r="FW47" s="8"/>
      <c r="FX47" s="8"/>
      <c r="FZ47" s="1"/>
      <c r="GA47" s="1"/>
      <c r="GB47" s="1"/>
      <c r="GC47" s="1"/>
      <c r="GD47" s="1"/>
      <c r="GE47" s="1"/>
      <c r="GG47" s="15"/>
    </row>
    <row r="48" spans="5:189" ht="3.75" customHeight="1"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3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8"/>
      <c r="BB48" s="8"/>
      <c r="BC48" s="8"/>
      <c r="BD48" s="8"/>
      <c r="BE48" s="8"/>
      <c r="BF48" s="8"/>
      <c r="BG48" s="8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3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3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8"/>
      <c r="FS48" s="8"/>
      <c r="FT48" s="8"/>
      <c r="FU48" s="8"/>
      <c r="FV48" s="8"/>
      <c r="FW48" s="8"/>
      <c r="FX48" s="8"/>
      <c r="FZ48" s="1"/>
      <c r="GA48" s="1"/>
      <c r="GB48" s="1"/>
      <c r="GC48" s="1"/>
      <c r="GD48" s="1"/>
      <c r="GE48" s="1"/>
      <c r="GG48" s="15"/>
    </row>
    <row r="49" spans="6:189" ht="3.75" customHeight="1"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3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3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3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8"/>
      <c r="FS49" s="8"/>
      <c r="FT49" s="8"/>
      <c r="FU49" s="8"/>
      <c r="FV49" s="8"/>
      <c r="FW49" s="8"/>
      <c r="FX49" s="8"/>
      <c r="FZ49" s="1"/>
      <c r="GA49" s="1"/>
      <c r="GB49" s="1"/>
      <c r="GC49" s="1"/>
      <c r="GD49" s="1"/>
      <c r="GE49" s="1"/>
      <c r="GG49" s="15"/>
    </row>
    <row r="50" spans="6:189" ht="3.75" customHeight="1"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3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3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3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8"/>
      <c r="FS50" s="8"/>
      <c r="FT50" s="8"/>
      <c r="FU50" s="8"/>
      <c r="FV50" s="8"/>
      <c r="FW50" s="8"/>
      <c r="FX50" s="8"/>
      <c r="FZ50" s="3" t="b">
        <f>OR(FK47,FL53)</f>
        <v>0</v>
      </c>
      <c r="GA50" s="3"/>
      <c r="GB50" s="3"/>
      <c r="GC50" s="3"/>
      <c r="GD50" s="3"/>
      <c r="GE50" s="3"/>
      <c r="GF50" s="2"/>
      <c r="GG50" s="15"/>
    </row>
    <row r="51" spans="6:189" ht="3.75" customHeight="1"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3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3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8"/>
      <c r="FS51" s="8"/>
      <c r="FT51" s="8"/>
      <c r="FU51" s="8"/>
      <c r="FV51" s="8"/>
      <c r="FW51" s="8"/>
      <c r="FX51" s="8"/>
      <c r="FZ51" s="1"/>
      <c r="GA51" s="1"/>
      <c r="GB51" s="1"/>
      <c r="GC51" s="1"/>
      <c r="GD51" s="1"/>
      <c r="GE51" s="1"/>
      <c r="GF51" t="b">
        <v>0</v>
      </c>
      <c r="GG51" s="15"/>
    </row>
    <row r="52" spans="6:189" ht="3.75" customHeight="1"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3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3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3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8"/>
      <c r="FS52" s="8"/>
      <c r="FT52" s="8"/>
      <c r="FU52" s="8"/>
      <c r="FV52" s="8"/>
      <c r="FW52" s="8"/>
      <c r="FX52" s="8"/>
      <c r="FZ52" s="1"/>
      <c r="GA52" s="1"/>
      <c r="GB52" s="1"/>
      <c r="GC52" s="1"/>
      <c r="GD52" s="1"/>
      <c r="GE52" s="1"/>
      <c r="GF52" t="b">
        <v>0</v>
      </c>
      <c r="GG52" s="15"/>
    </row>
    <row r="53" spans="6:189" ht="3.75" customHeight="1" thickBot="1"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3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3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3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3" t="b">
        <f>FF64</f>
        <v>0</v>
      </c>
      <c r="FL53" s="3" t="b">
        <f>FK53</f>
        <v>0</v>
      </c>
      <c r="FM53" s="3"/>
      <c r="FN53" s="3"/>
      <c r="FO53" s="3"/>
      <c r="FP53" s="3"/>
      <c r="FQ53" s="3"/>
      <c r="FR53" s="8"/>
      <c r="FS53" s="8"/>
      <c r="FT53" s="8"/>
      <c r="FU53" s="8"/>
      <c r="FV53" s="8"/>
      <c r="FW53" s="8"/>
      <c r="FX53" s="8"/>
      <c r="FZ53" s="1"/>
      <c r="GA53" s="1"/>
      <c r="GB53" s="1"/>
      <c r="GC53" s="1"/>
      <c r="GD53" s="1"/>
      <c r="GE53" s="1"/>
      <c r="GG53" s="16"/>
    </row>
    <row r="54" spans="6:189" ht="3.75" customHeight="1"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3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3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3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3"/>
      <c r="FL54" s="1"/>
      <c r="FM54" s="1"/>
      <c r="FN54" s="1"/>
      <c r="FO54" s="1"/>
      <c r="FP54" s="1"/>
      <c r="FQ54" s="1"/>
      <c r="FR54" s="8"/>
      <c r="FS54" s="8"/>
      <c r="FT54" s="8"/>
      <c r="FU54" s="8"/>
      <c r="FV54" s="8"/>
      <c r="FW54" s="8"/>
      <c r="FX54" s="8"/>
      <c r="FZ54" s="1"/>
      <c r="GA54" s="1"/>
      <c r="GB54" s="1"/>
      <c r="GC54" s="1"/>
      <c r="GD54" s="1"/>
      <c r="GE54" s="1"/>
    </row>
    <row r="55" spans="6:189" ht="3.75" customHeight="1"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3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3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3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3"/>
      <c r="FL55" s="1"/>
      <c r="FM55" s="1"/>
      <c r="FN55" s="1"/>
      <c r="FO55" s="1"/>
      <c r="FP55" s="1"/>
      <c r="FQ55" s="1"/>
      <c r="FR55" s="8"/>
      <c r="FS55" s="8"/>
      <c r="FT55" s="8"/>
      <c r="FU55" s="8"/>
      <c r="FV55" s="8"/>
      <c r="FW55" s="8"/>
      <c r="FX55" s="8"/>
      <c r="FZ55" s="1"/>
      <c r="GA55" s="1"/>
      <c r="GB55" s="1"/>
      <c r="GC55" s="1"/>
      <c r="GD55" s="1"/>
      <c r="GE55" s="1"/>
    </row>
    <row r="56" spans="6:189" ht="3.75" customHeight="1"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3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3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3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3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</row>
    <row r="57" spans="6:189" ht="3.75" customHeight="1"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3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3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3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3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</row>
    <row r="58" spans="6:189" ht="3.75" customHeight="1"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3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3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3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3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</row>
    <row r="59" spans="6:189" ht="3.75" customHeight="1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3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3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3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3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</row>
    <row r="60" spans="6:189" ht="3.75" customHeight="1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3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3"/>
      <c r="DL60" s="1"/>
      <c r="DM60" s="1"/>
      <c r="DN60" s="1"/>
      <c r="DO60" s="1"/>
      <c r="DP60" s="1"/>
      <c r="DQ60" s="1"/>
      <c r="DR60" s="1"/>
      <c r="DS60" s="10" t="s">
        <v>0</v>
      </c>
      <c r="DT60" s="10"/>
      <c r="DU60" s="10"/>
      <c r="DV60" s="10"/>
      <c r="DW60" s="10"/>
      <c r="DX60" s="10"/>
      <c r="DY60" s="10"/>
      <c r="DZ60" s="1"/>
      <c r="EA60" s="1"/>
      <c r="EB60" s="1"/>
      <c r="EC60" s="1"/>
      <c r="ED60" s="1"/>
      <c r="EE60" s="1"/>
      <c r="EF60" s="3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8" t="s">
        <v>6</v>
      </c>
      <c r="EZ60" s="8"/>
      <c r="FA60" s="8"/>
      <c r="FB60" s="8"/>
      <c r="FC60" s="8"/>
      <c r="FD60" s="8"/>
      <c r="FE60" s="8"/>
      <c r="FF60" s="1"/>
      <c r="FG60" s="1"/>
      <c r="FH60" s="1"/>
      <c r="FI60" s="1"/>
      <c r="FJ60" s="1"/>
      <c r="FK60" s="3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</row>
    <row r="61" spans="6:189" ht="3.75" customHeight="1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3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3"/>
      <c r="DL61" s="3" t="b">
        <f>DK26</f>
        <v>0</v>
      </c>
      <c r="DM61" s="3"/>
      <c r="DN61" s="3"/>
      <c r="DO61" s="3"/>
      <c r="DP61" s="3"/>
      <c r="DQ61" s="3"/>
      <c r="DR61" s="3"/>
      <c r="DS61" s="10"/>
      <c r="DT61" s="10"/>
      <c r="DU61" s="10"/>
      <c r="DV61" s="10"/>
      <c r="DW61" s="10"/>
      <c r="DX61" s="10"/>
      <c r="DY61" s="10"/>
      <c r="DZ61" s="3" t="b">
        <f>AND(NOT(S68),OR(DL61,PrevOut2),Power)</f>
        <v>0</v>
      </c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8"/>
      <c r="EZ61" s="8"/>
      <c r="FA61" s="8"/>
      <c r="FB61" s="8"/>
      <c r="FC61" s="8"/>
      <c r="FD61" s="8"/>
      <c r="FE61" s="8"/>
      <c r="FF61" s="1"/>
      <c r="FG61" s="1"/>
      <c r="FH61" s="1"/>
      <c r="FI61" s="1"/>
      <c r="FJ61" s="1"/>
      <c r="FK61" s="3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</row>
    <row r="62" spans="6:189" ht="3.75" customHeight="1"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3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0"/>
      <c r="DT62" s="10"/>
      <c r="DU62" s="10"/>
      <c r="DV62" s="10"/>
      <c r="DW62" s="10"/>
      <c r="DX62" s="10"/>
      <c r="DY62" s="10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8"/>
      <c r="EZ62" s="8"/>
      <c r="FA62" s="8"/>
      <c r="FB62" s="8"/>
      <c r="FC62" s="8"/>
      <c r="FD62" s="8"/>
      <c r="FE62" s="8"/>
      <c r="FF62" s="1"/>
      <c r="FG62" s="1"/>
      <c r="FH62" s="1"/>
      <c r="FI62" s="1"/>
      <c r="FJ62" s="1"/>
      <c r="FK62" s="3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</row>
    <row r="63" spans="6:189" ht="3.75" customHeight="1"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3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0"/>
      <c r="DT63" s="10"/>
      <c r="DU63" s="10"/>
      <c r="DV63" s="10"/>
      <c r="DW63" s="10"/>
      <c r="DX63" s="10"/>
      <c r="DY63" s="10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8"/>
      <c r="EZ63" s="8"/>
      <c r="FA63" s="8"/>
      <c r="FB63" s="8"/>
      <c r="FC63" s="8"/>
      <c r="FD63" s="8"/>
      <c r="FE63" s="8"/>
      <c r="FF63" s="1"/>
      <c r="FG63" s="1"/>
      <c r="FH63" s="1"/>
      <c r="FI63" s="1"/>
      <c r="FJ63" s="1"/>
      <c r="FK63" s="3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</row>
    <row r="64" spans="6:189" ht="3.75" customHeight="1"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3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1"/>
      <c r="DT64" s="11"/>
      <c r="DU64" s="11"/>
      <c r="DV64" s="11"/>
      <c r="DW64" s="11"/>
      <c r="DX64" s="11"/>
      <c r="DY64" s="1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8"/>
      <c r="EZ64" s="8"/>
      <c r="FA64" s="8"/>
      <c r="FB64" s="8"/>
      <c r="FC64" s="8"/>
      <c r="FD64" s="8"/>
      <c r="FE64" s="8"/>
      <c r="FF64" s="3" t="b">
        <f>AND(DZ61,EP68)</f>
        <v>0</v>
      </c>
      <c r="FG64" s="3"/>
      <c r="FH64" s="3"/>
      <c r="FI64" s="3"/>
      <c r="FJ64" s="3"/>
      <c r="FK64" s="3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</row>
    <row r="65" spans="6:187" ht="3.75" customHeight="1"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3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3" t="s">
        <v>1</v>
      </c>
      <c r="DT65" s="13"/>
      <c r="DU65" s="13"/>
      <c r="DV65" s="13"/>
      <c r="DW65" s="13"/>
      <c r="DX65" s="13"/>
      <c r="DY65" s="13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8"/>
      <c r="EZ65" s="8"/>
      <c r="FA65" s="8"/>
      <c r="FB65" s="8"/>
      <c r="FC65" s="8"/>
      <c r="FD65" s="8"/>
      <c r="FE65" s="8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</row>
    <row r="66" spans="6:187" ht="3.75" customHeight="1"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3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3"/>
      <c r="DT66" s="13"/>
      <c r="DU66" s="13"/>
      <c r="DV66" s="13"/>
      <c r="DW66" s="13"/>
      <c r="DX66" s="13"/>
      <c r="DY66" s="13"/>
      <c r="DZ66" s="1"/>
      <c r="EA66" s="1"/>
      <c r="EB66" s="1"/>
      <c r="EC66" s="1"/>
      <c r="ED66" s="1"/>
      <c r="EE66" s="1"/>
      <c r="EF66" s="1"/>
      <c r="EG66" s="8" t="s">
        <v>5</v>
      </c>
      <c r="EH66" s="8"/>
      <c r="EI66" s="8"/>
      <c r="EJ66" s="8"/>
      <c r="EK66" s="8"/>
      <c r="EL66" s="8"/>
      <c r="EM66" s="8"/>
      <c r="EN66" s="8"/>
      <c r="EO66" s="8"/>
      <c r="EP66" s="1"/>
      <c r="EQ66" s="1"/>
      <c r="ER66" s="1"/>
      <c r="ES66" s="1"/>
      <c r="ET66" s="1"/>
      <c r="EU66" s="1"/>
      <c r="EV66" s="1"/>
      <c r="EW66" s="1"/>
      <c r="EX66" s="1"/>
      <c r="EY66" s="8"/>
      <c r="EZ66" s="8"/>
      <c r="FA66" s="8"/>
      <c r="FB66" s="8"/>
      <c r="FC66" s="8"/>
      <c r="FD66" s="8"/>
      <c r="FE66" s="8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</row>
    <row r="67" spans="6:187" ht="3.75" customHeight="1"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3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3"/>
      <c r="DT67" s="13"/>
      <c r="DU67" s="13"/>
      <c r="DV67" s="13"/>
      <c r="DW67" s="13"/>
      <c r="DX67" s="13"/>
      <c r="DY67" s="13"/>
      <c r="DZ67" s="1"/>
      <c r="EA67" s="1"/>
      <c r="EB67" s="1"/>
      <c r="EC67" s="1"/>
      <c r="ED67" s="1"/>
      <c r="EE67" s="1"/>
      <c r="EF67" s="1"/>
      <c r="EG67" s="8"/>
      <c r="EH67" s="8"/>
      <c r="EI67" s="8"/>
      <c r="EJ67" s="8"/>
      <c r="EK67" s="8"/>
      <c r="EL67" s="8"/>
      <c r="EM67" s="8"/>
      <c r="EN67" s="8"/>
      <c r="EO67" s="8"/>
      <c r="EP67" s="1"/>
      <c r="EQ67" s="1"/>
      <c r="ER67" s="1"/>
      <c r="ES67" s="1"/>
      <c r="ET67" s="1"/>
      <c r="EU67" s="1"/>
      <c r="EV67" s="1"/>
      <c r="EW67" s="1"/>
      <c r="EX67" s="1"/>
      <c r="EY67" s="8"/>
      <c r="EZ67" s="8"/>
      <c r="FA67" s="8"/>
      <c r="FB67" s="8"/>
      <c r="FC67" s="8"/>
      <c r="FD67" s="8"/>
      <c r="FE67" s="8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</row>
    <row r="68" spans="6:187" ht="3.75" customHeight="1"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3"/>
      <c r="S68" s="3" t="b">
        <f>F46</f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13"/>
      <c r="DT68" s="13"/>
      <c r="DU68" s="13"/>
      <c r="DV68" s="13"/>
      <c r="DW68" s="13"/>
      <c r="DX68" s="13"/>
      <c r="DY68" s="13"/>
      <c r="DZ68" s="1"/>
      <c r="EA68" s="1"/>
      <c r="EB68" s="1"/>
      <c r="EC68" s="1"/>
      <c r="ED68" s="1"/>
      <c r="EE68" s="1"/>
      <c r="EF68" s="1"/>
      <c r="EG68" s="8"/>
      <c r="EH68" s="8"/>
      <c r="EI68" s="8"/>
      <c r="EJ68" s="8"/>
      <c r="EK68" s="8"/>
      <c r="EL68" s="8"/>
      <c r="EM68" s="8"/>
      <c r="EN68" s="8"/>
      <c r="EO68" s="8"/>
      <c r="EP68" s="3" t="b">
        <v>0</v>
      </c>
      <c r="EQ68" s="3"/>
      <c r="ER68" s="3"/>
      <c r="ES68" s="3"/>
      <c r="ET68" s="3"/>
      <c r="EU68" s="3"/>
      <c r="EV68" s="3"/>
      <c r="EW68" s="3"/>
      <c r="EX68" s="3"/>
      <c r="EY68" s="8"/>
      <c r="EZ68" s="8"/>
      <c r="FA68" s="8"/>
      <c r="FB68" s="8"/>
      <c r="FC68" s="8"/>
      <c r="FD68" s="8"/>
      <c r="FE68" s="8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</row>
    <row r="69" spans="6:187" ht="3.75" customHeight="1"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3"/>
      <c r="DT69" s="13"/>
      <c r="DU69" s="13"/>
      <c r="DV69" s="13"/>
      <c r="DW69" s="13"/>
      <c r="DX69" s="13"/>
      <c r="DY69" s="13"/>
      <c r="DZ69" s="1"/>
      <c r="EA69" s="1"/>
      <c r="EB69" s="1"/>
      <c r="EC69" s="1"/>
      <c r="ED69" s="1"/>
      <c r="EE69" s="1"/>
      <c r="EF69" s="1"/>
      <c r="EG69" s="8"/>
      <c r="EH69" s="8"/>
      <c r="EI69" s="8"/>
      <c r="EJ69" s="8"/>
      <c r="EK69" s="8"/>
      <c r="EL69" s="8"/>
      <c r="EM69" s="8"/>
      <c r="EN69" s="8"/>
      <c r="EO69" s="8"/>
      <c r="EP69" s="1"/>
      <c r="EQ69" s="1"/>
      <c r="ER69" s="1"/>
      <c r="ES69" s="1"/>
      <c r="ET69" s="1"/>
      <c r="EU69" s="1"/>
      <c r="EV69" s="1"/>
      <c r="EW69" s="1"/>
      <c r="EX69" s="1"/>
      <c r="EY69" s="8"/>
      <c r="EZ69" s="8"/>
      <c r="FA69" s="8"/>
      <c r="FB69" s="8"/>
      <c r="FC69" s="8"/>
      <c r="FD69" s="8"/>
      <c r="FE69" s="8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</row>
    <row r="70" spans="6:187" ht="3.75" customHeight="1"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8"/>
      <c r="EH70" s="8"/>
      <c r="EI70" s="8"/>
      <c r="EJ70" s="8"/>
      <c r="EK70" s="8"/>
      <c r="EL70" s="8"/>
      <c r="EM70" s="8"/>
      <c r="EN70" s="8"/>
      <c r="EO70" s="8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</row>
    <row r="71" spans="6:187" ht="3.75" customHeight="1"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</row>
    <row r="72" spans="6:187" ht="3.75" customHeight="1"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</row>
    <row r="73" spans="6:187" ht="3.75" customHeight="1"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</row>
    <row r="74" spans="6:187" ht="3.75" customHeight="1"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</row>
    <row r="75" spans="6:187" ht="3.75" customHeight="1"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</row>
    <row r="76" spans="6:187" ht="3.75" customHeight="1"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</row>
    <row r="77" spans="6:187" ht="3.75" customHeight="1"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</row>
    <row r="78" spans="6:187" ht="3.75" customHeight="1"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</row>
    <row r="79" spans="6:187" ht="3.75" customHeight="1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</row>
    <row r="80" spans="6:187" ht="3.75" customHeight="1"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</row>
    <row r="81" spans="2:187" ht="3.75" customHeight="1">
      <c r="B81" s="5"/>
      <c r="C81" s="6"/>
      <c r="D81" s="6"/>
      <c r="E81" s="6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</row>
    <row r="82" spans="2:187" ht="3.75" customHeight="1">
      <c r="B82" s="6"/>
      <c r="C82" s="6"/>
      <c r="D82" s="6"/>
      <c r="E82" s="6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</row>
    <row r="83" spans="2:187" ht="3.75" customHeight="1">
      <c r="B83" s="6"/>
      <c r="C83" s="6"/>
      <c r="D83" s="6"/>
      <c r="E83" s="6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</row>
    <row r="84" spans="2:187" ht="3.75" customHeight="1">
      <c r="B84" s="6"/>
      <c r="C84" s="6"/>
      <c r="D84" s="6"/>
      <c r="E84" s="6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</row>
  </sheetData>
  <mergeCells count="50">
    <mergeCell ref="FL53:FQ53"/>
    <mergeCell ref="EF43:EF60"/>
    <mergeCell ref="DS65:DY69"/>
    <mergeCell ref="S68:DR68"/>
    <mergeCell ref="GG46:GG53"/>
    <mergeCell ref="EC23:EI27"/>
    <mergeCell ref="F25:BV25"/>
    <mergeCell ref="BL16:BL24"/>
    <mergeCell ref="BM16:ES16"/>
    <mergeCell ref="ES17:ES36"/>
    <mergeCell ref="ET36:EX36"/>
    <mergeCell ref="ES42:EX42"/>
    <mergeCell ref="FR46:FX55"/>
    <mergeCell ref="EL40:ER44"/>
    <mergeCell ref="FK40:FK46"/>
    <mergeCell ref="FK47:FQ47"/>
    <mergeCell ref="EY35:FE44"/>
    <mergeCell ref="EF42:EK42"/>
    <mergeCell ref="FK53:FK64"/>
    <mergeCell ref="CK31:CK40"/>
    <mergeCell ref="EG66:EO70"/>
    <mergeCell ref="FZ50:GE50"/>
    <mergeCell ref="BW23:CC27"/>
    <mergeCell ref="BH41:CK41"/>
    <mergeCell ref="CD25:CY25"/>
    <mergeCell ref="DG25:EB25"/>
    <mergeCell ref="DK26:DK61"/>
    <mergeCell ref="DL61:DR61"/>
    <mergeCell ref="EY60:FE69"/>
    <mergeCell ref="DZ61:EX61"/>
    <mergeCell ref="EP68:EX68"/>
    <mergeCell ref="CZ23:DF27"/>
    <mergeCell ref="CZ28:DF32"/>
    <mergeCell ref="DS60:DY64"/>
    <mergeCell ref="CL31:CY31"/>
    <mergeCell ref="I4:GC5"/>
    <mergeCell ref="F46:AZ46"/>
    <mergeCell ref="B81:E84"/>
    <mergeCell ref="F2:GE3"/>
    <mergeCell ref="BA44:BG48"/>
    <mergeCell ref="R47:R68"/>
    <mergeCell ref="FF39:FK39"/>
    <mergeCell ref="R26:R35"/>
    <mergeCell ref="R36:AA36"/>
    <mergeCell ref="AI36:AZ36"/>
    <mergeCell ref="F41:AZ41"/>
    <mergeCell ref="AB34:AH38"/>
    <mergeCell ref="BA34:BG38"/>
    <mergeCell ref="BA39:BG43"/>
    <mergeCell ref="FF64:FJ64"/>
  </mergeCells>
  <conditionalFormatting sqref="F25:BV25 AI36:AZ36 R26 R36:AA36 F41:AZ41 F46:AZ46 R47 ES17 DK26 S68 EP68:EX68 BL16:BM16 ET36:EX36 FZ50 BH41 FK53:FL53 CK31:CL31 CD25:CY25 DG25:EB25 DL61 ES42 DZ61 EF42:EF43 FF64 FF39 FK47 FK40 GG46">
    <cfRule type="cellIs" dxfId="4" priority="107" operator="equal">
      <formula>TRUE</formula>
    </cfRule>
    <cfRule type="cellIs" dxfId="3" priority="110" operator="equal">
      <formula>1</formula>
    </cfRule>
    <cfRule type="cellIs" dxfId="2" priority="111" operator="equal">
      <formula>1</formula>
    </cfRule>
  </conditionalFormatting>
  <conditionalFormatting sqref="GG46:GG53">
    <cfRule type="expression" dxfId="1" priority="4">
      <formula>$FZ$50</formula>
    </cfRule>
  </conditionalFormatting>
  <conditionalFormatting sqref="EC23:EI27">
    <cfRule type="expression" dxfId="0" priority="3">
      <formula>$DG$25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Acknowledge</vt:lpstr>
      <vt:lpstr>Alarm</vt:lpstr>
      <vt:lpstr>Beeper</vt:lpstr>
      <vt:lpstr>Osc</vt:lpstr>
      <vt:lpstr>OutPut2</vt:lpstr>
      <vt:lpstr>Power</vt:lpstr>
      <vt:lpstr>PrevAck</vt:lpstr>
      <vt:lpstr>PrevAlarm</vt:lpstr>
      <vt:lpstr>PrevOut1</vt:lpstr>
      <vt:lpstr>PrevOut2</vt:lpstr>
      <vt:lpstr>Silence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</dc:creator>
  <cp:lastModifiedBy>DELL</cp:lastModifiedBy>
  <dcterms:created xsi:type="dcterms:W3CDTF">2012-04-30T12:48:47Z</dcterms:created>
  <dcterms:modified xsi:type="dcterms:W3CDTF">2020-08-28T13:30:43Z</dcterms:modified>
</cp:coreProperties>
</file>