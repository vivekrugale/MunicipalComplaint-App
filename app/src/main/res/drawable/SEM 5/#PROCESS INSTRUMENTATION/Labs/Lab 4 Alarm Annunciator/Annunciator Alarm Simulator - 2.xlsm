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defaultThemeVersion="124226"/>
  <bookViews>
    <workbookView xWindow="480" yWindow="240" windowWidth="19320" windowHeight="11760"/>
  </bookViews>
  <sheets>
    <sheet name="Sheet1" sheetId="1" r:id="rId1"/>
    <sheet name="Sheet2" sheetId="2" r:id="rId2"/>
    <sheet name="Sheet3" sheetId="3" r:id="rId3"/>
  </sheets>
  <definedNames>
    <definedName name="Acknowledge">Sheet1!$D$30</definedName>
    <definedName name="Alarm">Sheet1!$D$31</definedName>
    <definedName name="AND1_Out">Sheet1!$D$32</definedName>
    <definedName name="AND2_Out">Sheet1!$D$33</definedName>
    <definedName name="Beeper">Sheet1!$D$34</definedName>
    <definedName name="OR1_out">Sheet1!$D$35</definedName>
    <definedName name="OR2_out">Sheet1!$D$36</definedName>
    <definedName name="Osc">Sheet1!$D$37</definedName>
    <definedName name="OutPut2">Sheet1!$D$38</definedName>
    <definedName name="Power">Sheet1!$D$39</definedName>
    <definedName name="PrevAck">Sheet1!$D$40</definedName>
    <definedName name="PrevAlarm">Sheet1!$D$41</definedName>
    <definedName name="PrevOut1">Sheet1!$D$42</definedName>
    <definedName name="PrevOut2">Sheet1!$D$43</definedName>
    <definedName name="Silence">Sheet1!$D$44</definedName>
    <definedName name="trigger">Sheet1!$D$45</definedName>
    <definedName name="X1_Out">Sheet1!$D$46</definedName>
    <definedName name="X2_Out">Sheet1!$D$47</definedName>
  </definedNames>
  <calcPr calcId="125725"/>
</workbook>
</file>

<file path=xl/calcChain.xml><?xml version="1.0" encoding="utf-8"?>
<calcChain xmlns="http://schemas.openxmlformats.org/spreadsheetml/2006/main">
  <c r="D45" i="1"/>
  <c r="D46" l="1"/>
  <c r="D35" s="1"/>
  <c r="D34" s="1"/>
  <c r="D38" s="1"/>
  <c r="D47" l="1"/>
  <c r="D32" s="1"/>
  <c r="D33"/>
  <c r="D36" l="1"/>
</calcChain>
</file>

<file path=xl/sharedStrings.xml><?xml version="1.0" encoding="utf-8"?>
<sst xmlns="http://schemas.openxmlformats.org/spreadsheetml/2006/main" count="45" uniqueCount="45">
  <si>
    <t>Acknowledge</t>
  </si>
  <si>
    <t>Alarm</t>
  </si>
  <si>
    <t>Beeper</t>
  </si>
  <si>
    <t>Osc</t>
  </si>
  <si>
    <t>OutPut2</t>
  </si>
  <si>
    <t>Power</t>
  </si>
  <si>
    <t>PrevAck</t>
  </si>
  <si>
    <t>PrevAlarm</t>
  </si>
  <si>
    <t>PrevOut1</t>
  </si>
  <si>
    <t>PrevOut2</t>
  </si>
  <si>
    <t>Silence</t>
  </si>
  <si>
    <t>X2_Out</t>
  </si>
  <si>
    <t>AND1_Out</t>
  </si>
  <si>
    <t>AND2_Out</t>
  </si>
  <si>
    <t>=Sheet1!$D$8</t>
  </si>
  <si>
    <t>=Sheet1!$D$9</t>
  </si>
  <si>
    <t>=Sheet1!$D$23</t>
  </si>
  <si>
    <t>=Sheet1!$D$24</t>
  </si>
  <si>
    <t>=Sheet1!$D$10</t>
  </si>
  <si>
    <t>=Sheet1!$D$11</t>
  </si>
  <si>
    <t>=Sheet1!$D$25</t>
  </si>
  <si>
    <t>=Sheet1!$D$12</t>
  </si>
  <si>
    <t>=Sheet1!$D$13</t>
  </si>
  <si>
    <t>=Sheet1!$D$14</t>
  </si>
  <si>
    <t>=Sheet1!$D$15</t>
  </si>
  <si>
    <t>=Sheet1!$D$16</t>
  </si>
  <si>
    <t>=Sheet1!$D$17</t>
  </si>
  <si>
    <t>=Sheet1!$D$18</t>
  </si>
  <si>
    <t>=Sheet1!$D$19</t>
  </si>
  <si>
    <t>trigger</t>
  </si>
  <si>
    <t>=Sheet1!$D$21</t>
  </si>
  <si>
    <t>X1_Out</t>
  </si>
  <si>
    <t>=Sheet1!$D$20</t>
  </si>
  <si>
    <t>=Sheet1!$D$22</t>
  </si>
  <si>
    <t>Description</t>
  </si>
  <si>
    <t>This tool illustrates alarm logic used in alarming systems such as fire alarms, intruder alarms and process alarms in a process plant. The circuit is a combination of logic gates, SR flip flops and an oscillator. The components labelled 'X' are NOT gates and the device marked with an UP arrow is a positive edge trigger. The alarm logic is as follows:</t>
  </si>
  <si>
    <t>1. The circuit is started when powered up by pressing the 'Turn Power On' button.</t>
  </si>
  <si>
    <t>2. An alarm event, created by pressing the 'Trigger Alarm' button generates an audio alarm and a flashing visual alarm. Examples of alarm events in real life could be detection of smoke or increasing in the temperature of a reactor.</t>
  </si>
  <si>
    <t>3. The audio alarm is silenced by either pressing the 'Silence' or 'Acknowledge' buttons or when the alarm condition is cleared by pressing the 'Clear Alarm' button.</t>
  </si>
  <si>
    <t>4. The visual alarm keeps flashing till acknowledged by pressing the 'Acknowledge' button. If the alarm condition remains, the visual alarm remains on when acknowledged. It clears when the alarm is acknowledged and cleared.</t>
  </si>
  <si>
    <t>5. The circuit is powered off when the 'Turn Power Off' button is pressed.</t>
  </si>
  <si>
    <t>The circuit is animated, and the various connections show the energized (logic state 1) and de-energized (logic state 0) states. Electrical convention is followed, green colour indicates the de-energized state and red indicates the energized state. See video below.</t>
  </si>
  <si>
    <t>OR1_out</t>
  </si>
  <si>
    <t>OR2_out</t>
  </si>
  <si>
    <t>INSTRUMENTATIONTOOLS.COM</t>
  </si>
</sst>
</file>

<file path=xl/styles.xml><?xml version="1.0" encoding="utf-8"?>
<styleSheet xmlns="http://schemas.openxmlformats.org/spreadsheetml/2006/main">
  <fonts count="12">
    <font>
      <sz val="11"/>
      <color theme="1"/>
      <name val="Calibri"/>
      <family val="2"/>
      <scheme val="minor"/>
    </font>
    <font>
      <u/>
      <sz val="11"/>
      <color theme="10"/>
      <name val="Calibri"/>
      <family val="2"/>
      <scheme val="minor"/>
    </font>
    <font>
      <b/>
      <sz val="11"/>
      <color theme="1"/>
      <name val="Aharoni"/>
    </font>
    <font>
      <b/>
      <sz val="20"/>
      <color rgb="FFB22222"/>
      <name val="Trebuchet MS"/>
      <family val="2"/>
    </font>
    <font>
      <b/>
      <sz val="14"/>
      <color theme="1"/>
      <name val="Trebuchet MS"/>
      <family val="2"/>
    </font>
    <font>
      <sz val="14"/>
      <color theme="1"/>
      <name val="Trebuchet MS"/>
      <family val="2"/>
    </font>
    <font>
      <sz val="11"/>
      <color theme="4"/>
      <name val="Calibri"/>
      <family val="2"/>
      <scheme val="minor"/>
    </font>
    <font>
      <b/>
      <sz val="36"/>
      <color theme="3" tint="-0.249977111117893"/>
      <name val="Aharoni"/>
    </font>
    <font>
      <b/>
      <sz val="16"/>
      <color rgb="FF000000"/>
      <name val="Calibri"/>
      <family val="2"/>
      <scheme val="minor"/>
    </font>
    <font>
      <b/>
      <sz val="18"/>
      <color rgb="FF000000"/>
      <name val="Calibri"/>
      <family val="2"/>
      <scheme val="minor"/>
    </font>
    <font>
      <b/>
      <sz val="14"/>
      <color indexed="17"/>
      <name val="Calibri"/>
      <family val="2"/>
      <scheme val="minor"/>
    </font>
    <font>
      <b/>
      <sz val="36"/>
      <color rgb="FFFF0000"/>
      <name val="Calibri"/>
      <family val="2"/>
      <scheme val="minor"/>
    </font>
  </fonts>
  <fills count="5">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rgb="FFFFFF0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13">
    <xf numFmtId="0" fontId="0" fillId="0" borderId="0" xfId="0"/>
    <xf numFmtId="0" fontId="0" fillId="2" borderId="0" xfId="0" applyFill="1"/>
    <xf numFmtId="0" fontId="0" fillId="3" borderId="0" xfId="0" applyFill="1"/>
    <xf numFmtId="0" fontId="2" fillId="3" borderId="0" xfId="0" applyFont="1" applyFill="1" applyAlignment="1">
      <alignment vertical="center"/>
    </xf>
    <xf numFmtId="0" fontId="1" fillId="3" borderId="0" xfId="1" applyFill="1" applyAlignment="1"/>
    <xf numFmtId="0" fontId="0" fillId="3" borderId="0" xfId="0" applyFill="1" applyAlignment="1"/>
    <xf numFmtId="0" fontId="3" fillId="2" borderId="0" xfId="0" applyFont="1" applyFill="1" applyAlignment="1">
      <alignment vertical="center"/>
    </xf>
    <xf numFmtId="0" fontId="6" fillId="3" borderId="0" xfId="0" applyFont="1" applyFill="1"/>
    <xf numFmtId="0" fontId="6" fillId="3" borderId="0" xfId="0" applyFont="1" applyFill="1" applyAlignment="1"/>
    <xf numFmtId="0" fontId="7" fillId="3" borderId="0" xfId="0" applyFont="1" applyFill="1" applyAlignment="1">
      <alignment vertical="center"/>
    </xf>
    <xf numFmtId="0" fontId="11" fillId="4" borderId="0" xfId="0" applyFont="1" applyFill="1" applyAlignment="1">
      <alignment horizontal="center"/>
    </xf>
    <xf numFmtId="0" fontId="4" fillId="0" borderId="0" xfId="0" applyFont="1" applyAlignment="1">
      <alignment horizontal="center" vertical="center" wrapText="1"/>
    </xf>
    <xf numFmtId="0" fontId="5" fillId="0" borderId="0" xfId="0" applyFont="1" applyAlignment="1">
      <alignment horizontal="left" vertical="center" wrapText="1"/>
    </xf>
  </cellXfs>
  <cellStyles count="2">
    <cellStyle name="Hyperlink" xfId="1" builtinId="8"/>
    <cellStyle name="Normal" xfId="0" builtinId="0"/>
  </cellStyles>
  <dxfs count="1">
    <dxf>
      <font>
        <color rgb="FFFF0000"/>
      </font>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530678</xdr:colOff>
      <xdr:row>6</xdr:row>
      <xdr:rowOff>141267</xdr:rowOff>
    </xdr:from>
    <xdr:to>
      <xdr:col>30</xdr:col>
      <xdr:colOff>585107</xdr:colOff>
      <xdr:row>42</xdr:row>
      <xdr:rowOff>141267</xdr:rowOff>
    </xdr:to>
    <xdr:sp macro="" textlink="">
      <xdr:nvSpPr>
        <xdr:cNvPr id="6" name="Rectangle 5"/>
        <xdr:cNvSpPr/>
      </xdr:nvSpPr>
      <xdr:spPr>
        <a:xfrm>
          <a:off x="3969203" y="1770042"/>
          <a:ext cx="15294429" cy="6858000"/>
        </a:xfrm>
        <a:prstGeom prst="rect">
          <a:avLst/>
        </a:prstGeom>
        <a:solidFill>
          <a:schemeClr val="bg1">
            <a:lumMod val="8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326571</xdr:colOff>
      <xdr:row>6</xdr:row>
      <xdr:rowOff>137185</xdr:rowOff>
    </xdr:from>
    <xdr:to>
      <xdr:col>27</xdr:col>
      <xdr:colOff>517073</xdr:colOff>
      <xdr:row>42</xdr:row>
      <xdr:rowOff>137185</xdr:rowOff>
    </xdr:to>
    <xdr:sp macro="" textlink="">
      <xdr:nvSpPr>
        <xdr:cNvPr id="64" name="Rectangle 63"/>
        <xdr:cNvSpPr/>
      </xdr:nvSpPr>
      <xdr:spPr>
        <a:xfrm>
          <a:off x="6096000" y="1280185"/>
          <a:ext cx="11212287" cy="6858000"/>
        </a:xfrm>
        <a:prstGeom prst="rect">
          <a:avLst/>
        </a:prstGeom>
        <a:solidFill>
          <a:sysClr val="window" lastClr="FFFFFF"/>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259981</xdr:colOff>
      <xdr:row>25</xdr:row>
      <xdr:rowOff>134189</xdr:rowOff>
    </xdr:from>
    <xdr:to>
      <xdr:col>19</xdr:col>
      <xdr:colOff>336277</xdr:colOff>
      <xdr:row>36</xdr:row>
      <xdr:rowOff>159528</xdr:rowOff>
    </xdr:to>
    <xdr:cxnSp macro="">
      <xdr:nvCxnSpPr>
        <xdr:cNvPr id="9" name="Acknowledge_line2"/>
        <xdr:cNvCxnSpPr>
          <a:endCxn id="47" idx="1"/>
        </xdr:cNvCxnSpPr>
      </xdr:nvCxnSpPr>
      <xdr:spPr>
        <a:xfrm>
          <a:off x="5417088" y="4896689"/>
          <a:ext cx="6811832" cy="2120839"/>
        </a:xfrm>
        <a:prstGeom prst="bentConnector3">
          <a:avLst>
            <a:gd name="adj1" fmla="val 18234"/>
          </a:avLst>
        </a:prstGeom>
        <a:ln w="76200">
          <a:solidFill>
            <a:srgbClr val="007F3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321106</xdr:colOff>
      <xdr:row>23</xdr:row>
      <xdr:rowOff>70644</xdr:rowOff>
    </xdr:from>
    <xdr:to>
      <xdr:col>12</xdr:col>
      <xdr:colOff>603545</xdr:colOff>
      <xdr:row>23</xdr:row>
      <xdr:rowOff>71144</xdr:rowOff>
    </xdr:to>
    <xdr:cxnSp macro="">
      <xdr:nvCxnSpPr>
        <xdr:cNvPr id="14" name="silence_line"/>
        <xdr:cNvCxnSpPr>
          <a:endCxn id="62" idx="1"/>
        </xdr:cNvCxnSpPr>
      </xdr:nvCxnSpPr>
      <xdr:spPr>
        <a:xfrm flipV="1">
          <a:off x="5478213" y="4452144"/>
          <a:ext cx="2731725" cy="500"/>
        </a:xfrm>
        <a:prstGeom prst="bentConnector3">
          <a:avLst/>
        </a:prstGeom>
        <a:ln w="76200">
          <a:solidFill>
            <a:srgbClr val="007F3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585379</xdr:colOff>
      <xdr:row>19</xdr:row>
      <xdr:rowOff>162296</xdr:rowOff>
    </xdr:from>
    <xdr:to>
      <xdr:col>11</xdr:col>
      <xdr:colOff>577983</xdr:colOff>
      <xdr:row>22</xdr:row>
      <xdr:rowOff>49534</xdr:rowOff>
    </xdr:to>
    <xdr:sp macro="" textlink="">
      <xdr:nvSpPr>
        <xdr:cNvPr id="15" name="Rectangle 14"/>
        <xdr:cNvSpPr/>
      </xdr:nvSpPr>
      <xdr:spPr>
        <a:xfrm>
          <a:off x="6967129" y="3781796"/>
          <a:ext cx="604925" cy="458738"/>
        </a:xfrm>
        <a:prstGeom prst="rect">
          <a:avLst/>
        </a:prstGeom>
        <a:solidFill>
          <a:schemeClr val="bg1">
            <a:lumMod val="9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000" b="1">
              <a:solidFill>
                <a:sysClr val="windowText" lastClr="000000"/>
              </a:solidFill>
            </a:rPr>
            <a:t>X</a:t>
          </a:r>
        </a:p>
      </xdr:txBody>
    </xdr:sp>
    <xdr:clientData/>
  </xdr:twoCellAnchor>
  <xdr:twoCellAnchor>
    <xdr:from>
      <xdr:col>11</xdr:col>
      <xdr:colOff>577983</xdr:colOff>
      <xdr:row>21</xdr:row>
      <xdr:rowOff>10938</xdr:rowOff>
    </xdr:from>
    <xdr:to>
      <xdr:col>13</xdr:col>
      <xdr:colOff>4156</xdr:colOff>
      <xdr:row>21</xdr:row>
      <xdr:rowOff>11048</xdr:rowOff>
    </xdr:to>
    <xdr:cxnSp macro="">
      <xdr:nvCxnSpPr>
        <xdr:cNvPr id="16" name="X1_line"/>
        <xdr:cNvCxnSpPr>
          <a:stCxn id="15" idx="3"/>
          <a:endCxn id="60" idx="1"/>
        </xdr:cNvCxnSpPr>
      </xdr:nvCxnSpPr>
      <xdr:spPr>
        <a:xfrm>
          <a:off x="7572054" y="4011438"/>
          <a:ext cx="650816" cy="110"/>
        </a:xfrm>
        <a:prstGeom prst="bentConnector3">
          <a:avLst/>
        </a:prstGeom>
        <a:ln w="76200">
          <a:solidFill>
            <a:srgbClr val="007F3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321106</xdr:colOff>
      <xdr:row>25</xdr:row>
      <xdr:rowOff>136810</xdr:rowOff>
    </xdr:from>
    <xdr:to>
      <xdr:col>13</xdr:col>
      <xdr:colOff>8693</xdr:colOff>
      <xdr:row>25</xdr:row>
      <xdr:rowOff>137817</xdr:rowOff>
    </xdr:to>
    <xdr:cxnSp macro="">
      <xdr:nvCxnSpPr>
        <xdr:cNvPr id="17" name="Acknowledge_line1"/>
        <xdr:cNvCxnSpPr>
          <a:endCxn id="61" idx="1"/>
        </xdr:cNvCxnSpPr>
      </xdr:nvCxnSpPr>
      <xdr:spPr>
        <a:xfrm flipV="1">
          <a:off x="5478213" y="4899310"/>
          <a:ext cx="2749194" cy="1007"/>
        </a:xfrm>
        <a:prstGeom prst="bentConnector3">
          <a:avLst/>
        </a:prstGeom>
        <a:ln w="76200">
          <a:solidFill>
            <a:srgbClr val="007F3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243050</xdr:colOff>
      <xdr:row>15</xdr:row>
      <xdr:rowOff>104056</xdr:rowOff>
    </xdr:from>
    <xdr:to>
      <xdr:col>23</xdr:col>
      <xdr:colOff>337243</xdr:colOff>
      <xdr:row>20</xdr:row>
      <xdr:rowOff>91341</xdr:rowOff>
    </xdr:to>
    <xdr:cxnSp macro="">
      <xdr:nvCxnSpPr>
        <xdr:cNvPr id="18" name="alarm_line11"/>
        <xdr:cNvCxnSpPr>
          <a:stCxn id="38" idx="0"/>
          <a:endCxn id="57" idx="1"/>
        </xdr:cNvCxnSpPr>
      </xdr:nvCxnSpPr>
      <xdr:spPr>
        <a:xfrm rot="16200000" flipH="1">
          <a:off x="11406736" y="628906"/>
          <a:ext cx="939785" cy="5605086"/>
        </a:xfrm>
        <a:prstGeom prst="bentConnector4">
          <a:avLst>
            <a:gd name="adj1" fmla="val -57850"/>
            <a:gd name="adj2" fmla="val 89220"/>
          </a:avLst>
        </a:prstGeom>
        <a:ln w="76200">
          <a:solidFill>
            <a:srgbClr val="007F3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351961</xdr:colOff>
      <xdr:row>23</xdr:row>
      <xdr:rowOff>84042</xdr:rowOff>
    </xdr:from>
    <xdr:to>
      <xdr:col>22</xdr:col>
      <xdr:colOff>266115</xdr:colOff>
      <xdr:row>25</xdr:row>
      <xdr:rowOff>148269</xdr:rowOff>
    </xdr:to>
    <xdr:sp macro="" textlink="">
      <xdr:nvSpPr>
        <xdr:cNvPr id="19" name="Rectangle 18"/>
        <xdr:cNvSpPr/>
      </xdr:nvSpPr>
      <xdr:spPr>
        <a:xfrm>
          <a:off x="13469247" y="4465542"/>
          <a:ext cx="526475" cy="445227"/>
        </a:xfrm>
        <a:prstGeom prst="rect">
          <a:avLst/>
        </a:prstGeom>
        <a:solidFill>
          <a:schemeClr val="bg1">
            <a:lumMod val="9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000" b="1">
              <a:solidFill>
                <a:sysClr val="windowText" lastClr="000000"/>
              </a:solidFill>
            </a:rPr>
            <a:t>X</a:t>
          </a:r>
        </a:p>
      </xdr:txBody>
    </xdr:sp>
    <xdr:clientData/>
  </xdr:twoCellAnchor>
  <xdr:twoCellAnchor>
    <xdr:from>
      <xdr:col>22</xdr:col>
      <xdr:colOff>266115</xdr:colOff>
      <xdr:row>24</xdr:row>
      <xdr:rowOff>105705</xdr:rowOff>
    </xdr:from>
    <xdr:to>
      <xdr:col>23</xdr:col>
      <xdr:colOff>337244</xdr:colOff>
      <xdr:row>24</xdr:row>
      <xdr:rowOff>108808</xdr:rowOff>
    </xdr:to>
    <xdr:cxnSp macro="">
      <xdr:nvCxnSpPr>
        <xdr:cNvPr id="20" name="X2_line"/>
        <xdr:cNvCxnSpPr>
          <a:stCxn id="19" idx="3"/>
          <a:endCxn id="58" idx="1"/>
        </xdr:cNvCxnSpPr>
      </xdr:nvCxnSpPr>
      <xdr:spPr>
        <a:xfrm flipV="1">
          <a:off x="13995722" y="4677705"/>
          <a:ext cx="683451" cy="3103"/>
        </a:xfrm>
        <a:prstGeom prst="bentConnector3">
          <a:avLst/>
        </a:prstGeom>
        <a:ln w="76200">
          <a:solidFill>
            <a:srgbClr val="007F3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603545</xdr:colOff>
      <xdr:row>20</xdr:row>
      <xdr:rowOff>26220</xdr:rowOff>
    </xdr:from>
    <xdr:to>
      <xdr:col>13</xdr:col>
      <xdr:colOff>515279</xdr:colOff>
      <xdr:row>26</xdr:row>
      <xdr:rowOff>115068</xdr:rowOff>
    </xdr:to>
    <xdr:grpSp>
      <xdr:nvGrpSpPr>
        <xdr:cNvPr id="21" name="Group 20"/>
        <xdr:cNvGrpSpPr/>
      </xdr:nvGrpSpPr>
      <xdr:grpSpPr>
        <a:xfrm>
          <a:off x="8112420" y="4233095"/>
          <a:ext cx="514984" cy="1231848"/>
          <a:chOff x="16068043" y="1176615"/>
          <a:chExt cx="540000" cy="1165413"/>
        </a:xfrm>
      </xdr:grpSpPr>
      <xdr:sp macro="" textlink="">
        <xdr:nvSpPr>
          <xdr:cNvPr id="60" name="Rectangle 59"/>
          <xdr:cNvSpPr/>
        </xdr:nvSpPr>
        <xdr:spPr>
          <a:xfrm>
            <a:off x="16086043" y="1210222"/>
            <a:ext cx="504000" cy="26358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1" name="Rectangle 60"/>
          <xdr:cNvSpPr/>
        </xdr:nvSpPr>
        <xdr:spPr>
          <a:xfrm>
            <a:off x="16086043" y="2033929"/>
            <a:ext cx="504000" cy="29688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2" name="Rectangle 61"/>
          <xdr:cNvSpPr/>
        </xdr:nvSpPr>
        <xdr:spPr>
          <a:xfrm>
            <a:off x="16068043" y="1176615"/>
            <a:ext cx="540000" cy="1165413"/>
          </a:xfrm>
          <a:prstGeom prst="rect">
            <a:avLst/>
          </a:prstGeom>
          <a:solidFill>
            <a:schemeClr val="bg1">
              <a:lumMod val="9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ysClr val="windowText" lastClr="000000"/>
                </a:solidFill>
              </a:rPr>
              <a:t>OR</a:t>
            </a:r>
          </a:p>
        </xdr:txBody>
      </xdr:sp>
    </xdr:grpSp>
    <xdr:clientData/>
  </xdr:twoCellAnchor>
  <xdr:twoCellAnchor>
    <xdr:from>
      <xdr:col>23</xdr:col>
      <xdr:colOff>319690</xdr:colOff>
      <xdr:row>19</xdr:row>
      <xdr:rowOff>45158</xdr:rowOff>
    </xdr:from>
    <xdr:to>
      <xdr:col>24</xdr:col>
      <xdr:colOff>266645</xdr:colOff>
      <xdr:row>25</xdr:row>
      <xdr:rowOff>162821</xdr:rowOff>
    </xdr:to>
    <xdr:grpSp>
      <xdr:nvGrpSpPr>
        <xdr:cNvPr id="22" name="Group 21"/>
        <xdr:cNvGrpSpPr/>
      </xdr:nvGrpSpPr>
      <xdr:grpSpPr>
        <a:xfrm>
          <a:off x="14464315" y="4061533"/>
          <a:ext cx="550205" cy="1260663"/>
          <a:chOff x="16068043" y="1176615"/>
          <a:chExt cx="540000" cy="1165413"/>
        </a:xfrm>
      </xdr:grpSpPr>
      <xdr:sp macro="" textlink="">
        <xdr:nvSpPr>
          <xdr:cNvPr id="57" name="Rectangle 56"/>
          <xdr:cNvSpPr/>
        </xdr:nvSpPr>
        <xdr:spPr>
          <a:xfrm>
            <a:off x="16086043" y="1210222"/>
            <a:ext cx="504000" cy="3600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8" name="Rectangle 57"/>
          <xdr:cNvSpPr/>
        </xdr:nvSpPr>
        <xdr:spPr>
          <a:xfrm>
            <a:off x="16086043" y="1904988"/>
            <a:ext cx="504000" cy="425824"/>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9" name="Rectangle 58"/>
          <xdr:cNvSpPr/>
        </xdr:nvSpPr>
        <xdr:spPr>
          <a:xfrm>
            <a:off x="16068043" y="1176615"/>
            <a:ext cx="540000" cy="1165413"/>
          </a:xfrm>
          <a:prstGeom prst="rect">
            <a:avLst/>
          </a:prstGeom>
          <a:solidFill>
            <a:schemeClr val="bg1">
              <a:lumMod val="9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000">
                <a:solidFill>
                  <a:sysClr val="windowText" lastClr="000000"/>
                </a:solidFill>
              </a:rPr>
              <a:t>&amp;</a:t>
            </a:r>
          </a:p>
        </xdr:txBody>
      </xdr:sp>
    </xdr:grpSp>
    <xdr:clientData/>
  </xdr:twoCellAnchor>
  <xdr:twoCellAnchor>
    <xdr:from>
      <xdr:col>20</xdr:col>
      <xdr:colOff>291194</xdr:colOff>
      <xdr:row>34</xdr:row>
      <xdr:rowOff>63440</xdr:rowOff>
    </xdr:from>
    <xdr:to>
      <xdr:col>23</xdr:col>
      <xdr:colOff>360852</xdr:colOff>
      <xdr:row>34</xdr:row>
      <xdr:rowOff>66339</xdr:rowOff>
    </xdr:to>
    <xdr:cxnSp macro="">
      <xdr:nvCxnSpPr>
        <xdr:cNvPr id="23" name="SR2_line2"/>
        <xdr:cNvCxnSpPr>
          <a:stCxn id="46" idx="3"/>
          <a:endCxn id="54" idx="1"/>
        </xdr:cNvCxnSpPr>
      </xdr:nvCxnSpPr>
      <xdr:spPr>
        <a:xfrm>
          <a:off x="12796158" y="6540440"/>
          <a:ext cx="1906623" cy="2899"/>
        </a:xfrm>
        <a:prstGeom prst="bentConnector3">
          <a:avLst/>
        </a:prstGeom>
        <a:ln w="76200">
          <a:solidFill>
            <a:srgbClr val="007F3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292260</xdr:colOff>
      <xdr:row>30</xdr:row>
      <xdr:rowOff>96839</xdr:rowOff>
    </xdr:from>
    <xdr:to>
      <xdr:col>26</xdr:col>
      <xdr:colOff>151869</xdr:colOff>
      <xdr:row>36</xdr:row>
      <xdr:rowOff>89182</xdr:rowOff>
    </xdr:to>
    <xdr:cxnSp macro="">
      <xdr:nvCxnSpPr>
        <xdr:cNvPr id="24" name="AND2_line"/>
        <xdr:cNvCxnSpPr>
          <a:stCxn id="56" idx="3"/>
          <a:endCxn id="52" idx="1"/>
        </xdr:cNvCxnSpPr>
      </xdr:nvCxnSpPr>
      <xdr:spPr>
        <a:xfrm flipV="1">
          <a:off x="15246510" y="5811839"/>
          <a:ext cx="1084252" cy="1135343"/>
        </a:xfrm>
        <a:prstGeom prst="bentConnector3">
          <a:avLst/>
        </a:prstGeom>
        <a:ln w="76200">
          <a:solidFill>
            <a:srgbClr val="007F3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51442</xdr:colOff>
      <xdr:row>37</xdr:row>
      <xdr:rowOff>53974</xdr:rowOff>
    </xdr:from>
    <xdr:to>
      <xdr:col>22</xdr:col>
      <xdr:colOff>77194</xdr:colOff>
      <xdr:row>39</xdr:row>
      <xdr:rowOff>156428</xdr:rowOff>
    </xdr:to>
    <xdr:sp macro="" textlink="">
      <xdr:nvSpPr>
        <xdr:cNvPr id="25" name="Rectangle 24"/>
        <xdr:cNvSpPr/>
      </xdr:nvSpPr>
      <xdr:spPr>
        <a:xfrm>
          <a:off x="13168728" y="7102474"/>
          <a:ext cx="638073" cy="483454"/>
        </a:xfrm>
        <a:prstGeom prst="rect">
          <a:avLst/>
        </a:prstGeom>
        <a:solidFill>
          <a:schemeClr val="bg1">
            <a:lumMod val="9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ysClr val="windowText" lastClr="000000"/>
              </a:solidFill>
            </a:rPr>
            <a:t>OSC</a:t>
          </a:r>
        </a:p>
      </xdr:txBody>
    </xdr:sp>
    <xdr:clientData/>
  </xdr:twoCellAnchor>
  <xdr:twoCellAnchor>
    <xdr:from>
      <xdr:col>22</xdr:col>
      <xdr:colOff>77195</xdr:colOff>
      <xdr:row>38</xdr:row>
      <xdr:rowOff>95575</xdr:rowOff>
    </xdr:from>
    <xdr:to>
      <xdr:col>23</xdr:col>
      <xdr:colOff>360106</xdr:colOff>
      <xdr:row>38</xdr:row>
      <xdr:rowOff>95596</xdr:rowOff>
    </xdr:to>
    <xdr:cxnSp macro="">
      <xdr:nvCxnSpPr>
        <xdr:cNvPr id="26" name="Osc_line"/>
        <xdr:cNvCxnSpPr>
          <a:stCxn id="25" idx="3"/>
          <a:endCxn id="55" idx="1"/>
        </xdr:cNvCxnSpPr>
      </xdr:nvCxnSpPr>
      <xdr:spPr>
        <a:xfrm flipV="1">
          <a:off x="13806802" y="7334575"/>
          <a:ext cx="895233" cy="21"/>
        </a:xfrm>
        <a:prstGeom prst="bentConnector3">
          <a:avLst/>
        </a:prstGeom>
        <a:ln w="76200">
          <a:solidFill>
            <a:srgbClr val="007F3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342103</xdr:colOff>
      <xdr:row>33</xdr:row>
      <xdr:rowOff>20345</xdr:rowOff>
    </xdr:from>
    <xdr:to>
      <xdr:col>24</xdr:col>
      <xdr:colOff>292260</xdr:colOff>
      <xdr:row>39</xdr:row>
      <xdr:rowOff>167623</xdr:rowOff>
    </xdr:to>
    <xdr:grpSp>
      <xdr:nvGrpSpPr>
        <xdr:cNvPr id="27" name="Group 26"/>
        <xdr:cNvGrpSpPr/>
      </xdr:nvGrpSpPr>
      <xdr:grpSpPr>
        <a:xfrm>
          <a:off x="14486728" y="6703720"/>
          <a:ext cx="553407" cy="1290278"/>
          <a:chOff x="16068043" y="1176615"/>
          <a:chExt cx="540000" cy="1165413"/>
        </a:xfrm>
      </xdr:grpSpPr>
      <xdr:sp macro="" textlink="">
        <xdr:nvSpPr>
          <xdr:cNvPr id="54" name="Rectangle 53"/>
          <xdr:cNvSpPr/>
        </xdr:nvSpPr>
        <xdr:spPr>
          <a:xfrm>
            <a:off x="16086043" y="1210222"/>
            <a:ext cx="504000" cy="3600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5" name="Rectangle 54"/>
          <xdr:cNvSpPr/>
        </xdr:nvSpPr>
        <xdr:spPr>
          <a:xfrm>
            <a:off x="16086043" y="1904988"/>
            <a:ext cx="504000" cy="425824"/>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6" name="Rectangle 55"/>
          <xdr:cNvSpPr/>
        </xdr:nvSpPr>
        <xdr:spPr>
          <a:xfrm>
            <a:off x="16068043" y="1176615"/>
            <a:ext cx="540000" cy="1165413"/>
          </a:xfrm>
          <a:prstGeom prst="rect">
            <a:avLst/>
          </a:prstGeom>
          <a:solidFill>
            <a:schemeClr val="bg1">
              <a:lumMod val="9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000">
                <a:solidFill>
                  <a:sysClr val="windowText" lastClr="000000"/>
                </a:solidFill>
              </a:rPr>
              <a:t>&amp;</a:t>
            </a:r>
          </a:p>
        </xdr:txBody>
      </xdr:sp>
    </xdr:grpSp>
    <xdr:clientData/>
  </xdr:twoCellAnchor>
  <xdr:twoCellAnchor>
    <xdr:from>
      <xdr:col>24</xdr:col>
      <xdr:colOff>266644</xdr:colOff>
      <xdr:row>22</xdr:row>
      <xdr:rowOff>113195</xdr:rowOff>
    </xdr:from>
    <xdr:to>
      <xdr:col>26</xdr:col>
      <xdr:colOff>151869</xdr:colOff>
      <xdr:row>26</xdr:row>
      <xdr:rowOff>111951</xdr:rowOff>
    </xdr:to>
    <xdr:cxnSp macro="">
      <xdr:nvCxnSpPr>
        <xdr:cNvPr id="28" name="AND1_line"/>
        <xdr:cNvCxnSpPr>
          <a:stCxn id="59" idx="3"/>
          <a:endCxn id="51" idx="1"/>
        </xdr:cNvCxnSpPr>
      </xdr:nvCxnSpPr>
      <xdr:spPr>
        <a:xfrm>
          <a:off x="15220894" y="4304195"/>
          <a:ext cx="1109868" cy="760756"/>
        </a:xfrm>
        <a:prstGeom prst="bentConnector3">
          <a:avLst/>
        </a:prstGeom>
        <a:ln w="76200">
          <a:solidFill>
            <a:srgbClr val="007F3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126453</xdr:colOff>
      <xdr:row>28</xdr:row>
      <xdr:rowOff>104853</xdr:rowOff>
    </xdr:from>
    <xdr:to>
      <xdr:col>28</xdr:col>
      <xdr:colOff>374400</xdr:colOff>
      <xdr:row>28</xdr:row>
      <xdr:rowOff>111340</xdr:rowOff>
    </xdr:to>
    <xdr:cxnSp macro="">
      <xdr:nvCxnSpPr>
        <xdr:cNvPr id="29" name="OR2_line"/>
        <xdr:cNvCxnSpPr>
          <a:stCxn id="53" idx="3"/>
          <a:endCxn id="44" idx="1"/>
        </xdr:cNvCxnSpPr>
      </xdr:nvCxnSpPr>
      <xdr:spPr>
        <a:xfrm>
          <a:off x="16917667" y="5438853"/>
          <a:ext cx="860269" cy="6487"/>
        </a:xfrm>
        <a:prstGeom prst="bentConnector3">
          <a:avLst/>
        </a:prstGeom>
        <a:ln w="76200">
          <a:solidFill>
            <a:srgbClr val="007F3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321106</xdr:colOff>
      <xdr:row>15</xdr:row>
      <xdr:rowOff>159590</xdr:rowOff>
    </xdr:from>
    <xdr:to>
      <xdr:col>10</xdr:col>
      <xdr:colOff>585379</xdr:colOff>
      <xdr:row>21</xdr:row>
      <xdr:rowOff>10665</xdr:rowOff>
    </xdr:to>
    <xdr:cxnSp macro="">
      <xdr:nvCxnSpPr>
        <xdr:cNvPr id="30" name="alarm_line2"/>
        <xdr:cNvCxnSpPr>
          <a:endCxn id="15" idx="1"/>
        </xdr:cNvCxnSpPr>
      </xdr:nvCxnSpPr>
      <xdr:spPr>
        <a:xfrm>
          <a:off x="5478213" y="3017090"/>
          <a:ext cx="1488916" cy="994075"/>
        </a:xfrm>
        <a:prstGeom prst="bentConnector3">
          <a:avLst>
            <a:gd name="adj1" fmla="val 77417"/>
          </a:avLst>
        </a:prstGeom>
        <a:ln w="76200">
          <a:solidFill>
            <a:srgbClr val="007F3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133867</xdr:colOff>
      <xdr:row>25</xdr:row>
      <xdr:rowOff>79238</xdr:rowOff>
    </xdr:from>
    <xdr:to>
      <xdr:col>27</xdr:col>
      <xdr:colOff>126453</xdr:colOff>
      <xdr:row>31</xdr:row>
      <xdr:rowOff>130467</xdr:rowOff>
    </xdr:to>
    <xdr:grpSp>
      <xdr:nvGrpSpPr>
        <xdr:cNvPr id="31" name="Group 30"/>
        <xdr:cNvGrpSpPr/>
      </xdr:nvGrpSpPr>
      <xdr:grpSpPr>
        <a:xfrm>
          <a:off x="16088242" y="5238613"/>
          <a:ext cx="595836" cy="1194229"/>
          <a:chOff x="16068043" y="1176615"/>
          <a:chExt cx="540000" cy="1165413"/>
        </a:xfrm>
      </xdr:grpSpPr>
      <xdr:sp macro="" textlink="">
        <xdr:nvSpPr>
          <xdr:cNvPr id="51" name="Rectangle 50"/>
          <xdr:cNvSpPr/>
        </xdr:nvSpPr>
        <xdr:spPr>
          <a:xfrm>
            <a:off x="16086043" y="1210222"/>
            <a:ext cx="504000" cy="3600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2" name="Rectangle 51"/>
          <xdr:cNvSpPr/>
        </xdr:nvSpPr>
        <xdr:spPr>
          <a:xfrm>
            <a:off x="16086043" y="1904988"/>
            <a:ext cx="504000" cy="425824"/>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3" name="Rectangle 52"/>
          <xdr:cNvSpPr/>
        </xdr:nvSpPr>
        <xdr:spPr>
          <a:xfrm>
            <a:off x="16068043" y="1176615"/>
            <a:ext cx="540000" cy="1165413"/>
          </a:xfrm>
          <a:prstGeom prst="rect">
            <a:avLst/>
          </a:prstGeom>
          <a:solidFill>
            <a:schemeClr val="bg1">
              <a:lumMod val="9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ysClr val="windowText" lastClr="000000"/>
                </a:solidFill>
              </a:rPr>
              <a:t>OR</a:t>
            </a:r>
          </a:p>
        </xdr:txBody>
      </xdr:sp>
    </xdr:grpSp>
    <xdr:clientData/>
  </xdr:twoCellAnchor>
  <xdr:twoCellAnchor>
    <xdr:from>
      <xdr:col>14</xdr:col>
      <xdr:colOff>304690</xdr:colOff>
      <xdr:row>15</xdr:row>
      <xdr:rowOff>165689</xdr:rowOff>
    </xdr:from>
    <xdr:to>
      <xdr:col>15</xdr:col>
      <xdr:colOff>71877</xdr:colOff>
      <xdr:row>15</xdr:row>
      <xdr:rowOff>167372</xdr:rowOff>
    </xdr:to>
    <xdr:cxnSp macro="">
      <xdr:nvCxnSpPr>
        <xdr:cNvPr id="32" name="alarm_line12"/>
        <xdr:cNvCxnSpPr>
          <a:stCxn id="38" idx="6"/>
          <a:endCxn id="42" idx="1"/>
        </xdr:cNvCxnSpPr>
      </xdr:nvCxnSpPr>
      <xdr:spPr>
        <a:xfrm>
          <a:off x="9135726" y="3023189"/>
          <a:ext cx="379508" cy="1683"/>
        </a:xfrm>
        <a:prstGeom prst="bentConnector3">
          <a:avLst/>
        </a:prstGeom>
        <a:ln w="76200">
          <a:solidFill>
            <a:srgbClr val="007F3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180064</xdr:colOff>
      <xdr:row>15</xdr:row>
      <xdr:rowOff>157654</xdr:rowOff>
    </xdr:from>
    <xdr:to>
      <xdr:col>20</xdr:col>
      <xdr:colOff>343073</xdr:colOff>
      <xdr:row>15</xdr:row>
      <xdr:rowOff>162169</xdr:rowOff>
    </xdr:to>
    <xdr:cxnSp macro="">
      <xdr:nvCxnSpPr>
        <xdr:cNvPr id="33" name="beeper_line"/>
        <xdr:cNvCxnSpPr>
          <a:stCxn id="49" idx="3"/>
          <a:endCxn id="40" idx="1"/>
        </xdr:cNvCxnSpPr>
      </xdr:nvCxnSpPr>
      <xdr:spPr>
        <a:xfrm flipV="1">
          <a:off x="11460385" y="3015154"/>
          <a:ext cx="1387652" cy="4515"/>
        </a:xfrm>
        <a:prstGeom prst="bentConnector3">
          <a:avLst/>
        </a:prstGeom>
        <a:ln w="76200">
          <a:solidFill>
            <a:srgbClr val="007F3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515278</xdr:colOff>
      <xdr:row>18</xdr:row>
      <xdr:rowOff>89022</xdr:rowOff>
    </xdr:from>
    <xdr:to>
      <xdr:col>17</xdr:col>
      <xdr:colOff>232062</xdr:colOff>
      <xdr:row>23</xdr:row>
      <xdr:rowOff>73365</xdr:rowOff>
    </xdr:to>
    <xdr:cxnSp macro="">
      <xdr:nvCxnSpPr>
        <xdr:cNvPr id="34" name="OR1_line"/>
        <xdr:cNvCxnSpPr>
          <a:stCxn id="62" idx="3"/>
          <a:endCxn id="50" idx="1"/>
        </xdr:cNvCxnSpPr>
      </xdr:nvCxnSpPr>
      <xdr:spPr>
        <a:xfrm flipV="1">
          <a:off x="8733992" y="3518022"/>
          <a:ext cx="2166070" cy="936843"/>
        </a:xfrm>
        <a:prstGeom prst="bentConnector3">
          <a:avLst>
            <a:gd name="adj1" fmla="val 69938"/>
          </a:avLst>
        </a:prstGeom>
        <a:ln w="76200">
          <a:solidFill>
            <a:srgbClr val="007F3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232063</xdr:colOff>
      <xdr:row>14</xdr:row>
      <xdr:rowOff>75734</xdr:rowOff>
    </xdr:from>
    <xdr:to>
      <xdr:col>18</xdr:col>
      <xdr:colOff>203375</xdr:colOff>
      <xdr:row>19</xdr:row>
      <xdr:rowOff>177758</xdr:rowOff>
    </xdr:to>
    <xdr:grpSp>
      <xdr:nvGrpSpPr>
        <xdr:cNvPr id="35" name="Group 34"/>
        <xdr:cNvGrpSpPr/>
      </xdr:nvGrpSpPr>
      <xdr:grpSpPr>
        <a:xfrm>
          <a:off x="10757188" y="3139609"/>
          <a:ext cx="574562" cy="1054524"/>
          <a:chOff x="16028892" y="1176615"/>
          <a:chExt cx="561151" cy="1165413"/>
        </a:xfrm>
        <a:noFill/>
      </xdr:grpSpPr>
      <xdr:sp macro="" textlink="">
        <xdr:nvSpPr>
          <xdr:cNvPr id="48" name="Rectangle 47"/>
          <xdr:cNvSpPr/>
        </xdr:nvSpPr>
        <xdr:spPr>
          <a:xfrm>
            <a:off x="16028892" y="1176615"/>
            <a:ext cx="540000" cy="1165413"/>
          </a:xfrm>
          <a:prstGeom prst="rect">
            <a:avLst/>
          </a:prstGeom>
          <a:solidFill>
            <a:schemeClr val="bg1">
              <a:lumMod val="9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2000">
              <a:solidFill>
                <a:sysClr val="windowText" lastClr="000000"/>
              </a:solidFill>
            </a:endParaRPr>
          </a:p>
        </xdr:txBody>
      </xdr:sp>
      <xdr:sp macro="" textlink="">
        <xdr:nvSpPr>
          <xdr:cNvPr id="49" name="Rectangle 48"/>
          <xdr:cNvSpPr/>
        </xdr:nvSpPr>
        <xdr:spPr>
          <a:xfrm>
            <a:off x="16028892" y="1210222"/>
            <a:ext cx="538739" cy="544899"/>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000" b="1">
                <a:solidFill>
                  <a:sysClr val="windowText" lastClr="000000"/>
                </a:solidFill>
              </a:rPr>
              <a:t>S</a:t>
            </a:r>
          </a:p>
        </xdr:txBody>
      </xdr:sp>
      <xdr:sp macro="" textlink="">
        <xdr:nvSpPr>
          <xdr:cNvPr id="50" name="Rectangle 49"/>
          <xdr:cNvSpPr/>
        </xdr:nvSpPr>
        <xdr:spPr>
          <a:xfrm>
            <a:off x="16028892" y="1750739"/>
            <a:ext cx="561151" cy="563342"/>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000" b="1">
                <a:solidFill>
                  <a:sysClr val="windowText" lastClr="000000"/>
                </a:solidFill>
              </a:rPr>
              <a:t>R</a:t>
            </a:r>
          </a:p>
        </xdr:txBody>
      </xdr:sp>
    </xdr:grpSp>
    <xdr:clientData/>
  </xdr:twoCellAnchor>
  <xdr:twoCellAnchor>
    <xdr:from>
      <xdr:col>18</xdr:col>
      <xdr:colOff>180064</xdr:colOff>
      <xdr:row>15</xdr:row>
      <xdr:rowOff>162169</xdr:rowOff>
    </xdr:from>
    <xdr:to>
      <xdr:col>19</xdr:col>
      <xdr:colOff>336276</xdr:colOff>
      <xdr:row>34</xdr:row>
      <xdr:rowOff>63440</xdr:rowOff>
    </xdr:to>
    <xdr:cxnSp macro="">
      <xdr:nvCxnSpPr>
        <xdr:cNvPr id="36" name="SR1_line"/>
        <xdr:cNvCxnSpPr>
          <a:stCxn id="49" idx="3"/>
          <a:endCxn id="46" idx="1"/>
        </xdr:cNvCxnSpPr>
      </xdr:nvCxnSpPr>
      <xdr:spPr>
        <a:xfrm>
          <a:off x="11460385" y="3019669"/>
          <a:ext cx="768534" cy="3520771"/>
        </a:xfrm>
        <a:prstGeom prst="bentConnector3">
          <a:avLst/>
        </a:prstGeom>
        <a:ln w="76200">
          <a:solidFill>
            <a:srgbClr val="007F3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336277</xdr:colOff>
      <xdr:row>32</xdr:row>
      <xdr:rowOff>178830</xdr:rowOff>
    </xdr:from>
    <xdr:to>
      <xdr:col>20</xdr:col>
      <xdr:colOff>314792</xdr:colOff>
      <xdr:row>38</xdr:row>
      <xdr:rowOff>47228</xdr:rowOff>
    </xdr:to>
    <xdr:grpSp>
      <xdr:nvGrpSpPr>
        <xdr:cNvPr id="37" name="Group 36"/>
        <xdr:cNvGrpSpPr/>
      </xdr:nvGrpSpPr>
      <xdr:grpSpPr>
        <a:xfrm>
          <a:off x="12067902" y="6671705"/>
          <a:ext cx="581765" cy="1011398"/>
          <a:chOff x="16028892" y="1176615"/>
          <a:chExt cx="561151" cy="1165413"/>
        </a:xfrm>
        <a:noFill/>
      </xdr:grpSpPr>
      <xdr:sp macro="" textlink="">
        <xdr:nvSpPr>
          <xdr:cNvPr id="45" name="Rectangle 44"/>
          <xdr:cNvSpPr/>
        </xdr:nvSpPr>
        <xdr:spPr>
          <a:xfrm>
            <a:off x="16028892" y="1176615"/>
            <a:ext cx="520631" cy="1165413"/>
          </a:xfrm>
          <a:prstGeom prst="rect">
            <a:avLst/>
          </a:prstGeom>
          <a:solidFill>
            <a:schemeClr val="bg1">
              <a:lumMod val="9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2000">
              <a:solidFill>
                <a:sysClr val="windowText" lastClr="000000"/>
              </a:solidFill>
            </a:endParaRPr>
          </a:p>
        </xdr:txBody>
      </xdr:sp>
      <xdr:sp macro="" textlink="">
        <xdr:nvSpPr>
          <xdr:cNvPr id="46" name="Rectangle 45"/>
          <xdr:cNvSpPr/>
        </xdr:nvSpPr>
        <xdr:spPr>
          <a:xfrm>
            <a:off x="16028892" y="1210222"/>
            <a:ext cx="538739" cy="544899"/>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000" b="1">
                <a:solidFill>
                  <a:sysClr val="windowText" lastClr="000000"/>
                </a:solidFill>
              </a:rPr>
              <a:t>S</a:t>
            </a:r>
          </a:p>
        </xdr:txBody>
      </xdr:sp>
      <xdr:sp macro="" textlink="">
        <xdr:nvSpPr>
          <xdr:cNvPr id="47" name="Rectangle 46"/>
          <xdr:cNvSpPr/>
        </xdr:nvSpPr>
        <xdr:spPr>
          <a:xfrm>
            <a:off x="16028892" y="1750739"/>
            <a:ext cx="561151" cy="563342"/>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000" b="1">
                <a:solidFill>
                  <a:sysClr val="windowText" lastClr="000000"/>
                </a:solidFill>
              </a:rPr>
              <a:t>R</a:t>
            </a:r>
          </a:p>
        </xdr:txBody>
      </xdr:sp>
    </xdr:grpSp>
    <xdr:clientData/>
  </xdr:twoCellAnchor>
  <xdr:twoCellAnchor>
    <xdr:from>
      <xdr:col>14</xdr:col>
      <xdr:colOff>181411</xdr:colOff>
      <xdr:row>15</xdr:row>
      <xdr:rowOff>104056</xdr:rowOff>
    </xdr:from>
    <xdr:to>
      <xdr:col>14</xdr:col>
      <xdr:colOff>304690</xdr:colOff>
      <xdr:row>16</xdr:row>
      <xdr:rowOff>36821</xdr:rowOff>
    </xdr:to>
    <xdr:sp macro="" textlink="">
      <xdr:nvSpPr>
        <xdr:cNvPr id="38" name="connector"/>
        <xdr:cNvSpPr/>
      </xdr:nvSpPr>
      <xdr:spPr>
        <a:xfrm>
          <a:off x="9012447" y="2961556"/>
          <a:ext cx="123279" cy="123265"/>
        </a:xfrm>
        <a:prstGeom prst="ellipse">
          <a:avLst/>
        </a:prstGeom>
        <a:solidFill>
          <a:schemeClr val="bg1">
            <a:lumMod val="75000"/>
          </a:schemeClr>
        </a:solidFill>
        <a:ln>
          <a:solidFill>
            <a:srgbClr val="007F3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20</xdr:col>
      <xdr:colOff>291194</xdr:colOff>
      <xdr:row>24</xdr:row>
      <xdr:rowOff>116156</xdr:rowOff>
    </xdr:from>
    <xdr:to>
      <xdr:col>21</xdr:col>
      <xdr:colOff>351961</xdr:colOff>
      <xdr:row>34</xdr:row>
      <xdr:rowOff>63440</xdr:rowOff>
    </xdr:to>
    <xdr:cxnSp macro="">
      <xdr:nvCxnSpPr>
        <xdr:cNvPr id="39" name="SR2_line1"/>
        <xdr:cNvCxnSpPr>
          <a:stCxn id="46" idx="3"/>
          <a:endCxn id="19" idx="1"/>
        </xdr:cNvCxnSpPr>
      </xdr:nvCxnSpPr>
      <xdr:spPr>
        <a:xfrm flipV="1">
          <a:off x="12796158" y="4688156"/>
          <a:ext cx="673089" cy="1852284"/>
        </a:xfrm>
        <a:prstGeom prst="bentConnector3">
          <a:avLst/>
        </a:prstGeom>
        <a:ln w="76200">
          <a:solidFill>
            <a:srgbClr val="007F3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343074</xdr:colOff>
      <xdr:row>14</xdr:row>
      <xdr:rowOff>111229</xdr:rowOff>
    </xdr:from>
    <xdr:to>
      <xdr:col>21</xdr:col>
      <xdr:colOff>306859</xdr:colOff>
      <xdr:row>17</xdr:row>
      <xdr:rowOff>13579</xdr:rowOff>
    </xdr:to>
    <xdr:sp macro="" textlink="">
      <xdr:nvSpPr>
        <xdr:cNvPr id="40" name="bell"/>
        <xdr:cNvSpPr/>
      </xdr:nvSpPr>
      <xdr:spPr>
        <a:xfrm>
          <a:off x="12848038" y="2778229"/>
          <a:ext cx="576107" cy="473850"/>
        </a:xfrm>
        <a:prstGeom prst="rect">
          <a:avLst/>
        </a:prstGeom>
        <a:solidFill>
          <a:srgbClr val="E3E3E3"/>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b="1">
              <a:solidFill>
                <a:sysClr val="windowText" lastClr="000000"/>
              </a:solidFill>
              <a:latin typeface="Wingdings" pitchFamily="2" charset="2"/>
            </a:rPr>
            <a:t>%</a:t>
          </a:r>
        </a:p>
      </xdr:txBody>
    </xdr:sp>
    <xdr:clientData/>
  </xdr:twoCellAnchor>
  <xdr:twoCellAnchor>
    <xdr:from>
      <xdr:col>8</xdr:col>
      <xdr:colOff>321106</xdr:colOff>
      <xdr:row>15</xdr:row>
      <xdr:rowOff>159590</xdr:rowOff>
    </xdr:from>
    <xdr:to>
      <xdr:col>14</xdr:col>
      <xdr:colOff>181411</xdr:colOff>
      <xdr:row>15</xdr:row>
      <xdr:rowOff>165689</xdr:rowOff>
    </xdr:to>
    <xdr:cxnSp macro="">
      <xdr:nvCxnSpPr>
        <xdr:cNvPr id="41" name="alarm_line1"/>
        <xdr:cNvCxnSpPr>
          <a:endCxn id="38" idx="2"/>
        </xdr:cNvCxnSpPr>
      </xdr:nvCxnSpPr>
      <xdr:spPr>
        <a:xfrm>
          <a:off x="5478213" y="3017090"/>
          <a:ext cx="3534234" cy="6099"/>
        </a:xfrm>
        <a:prstGeom prst="bentConnector3">
          <a:avLst>
            <a:gd name="adj1" fmla="val 50000"/>
          </a:avLst>
        </a:prstGeom>
        <a:ln w="76200">
          <a:solidFill>
            <a:srgbClr val="007F3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71877</xdr:colOff>
      <xdr:row>14</xdr:row>
      <xdr:rowOff>123876</xdr:rowOff>
    </xdr:from>
    <xdr:to>
      <xdr:col>15</xdr:col>
      <xdr:colOff>464898</xdr:colOff>
      <xdr:row>17</xdr:row>
      <xdr:rowOff>15468</xdr:rowOff>
    </xdr:to>
    <xdr:sp macro="" textlink="">
      <xdr:nvSpPr>
        <xdr:cNvPr id="42" name="Rectangle 41"/>
        <xdr:cNvSpPr/>
      </xdr:nvSpPr>
      <xdr:spPr>
        <a:xfrm>
          <a:off x="9515234" y="2790876"/>
          <a:ext cx="393021" cy="463092"/>
        </a:xfrm>
        <a:prstGeom prst="rect">
          <a:avLst/>
        </a:prstGeom>
        <a:solidFill>
          <a:schemeClr val="bg1">
            <a:lumMod val="9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000" b="1">
              <a:solidFill>
                <a:sysClr val="windowText" lastClr="000000"/>
              </a:solidFill>
            </a:rPr>
            <a:t>↑</a:t>
          </a:r>
        </a:p>
      </xdr:txBody>
    </xdr:sp>
    <xdr:clientData/>
  </xdr:twoCellAnchor>
  <xdr:twoCellAnchor>
    <xdr:from>
      <xdr:col>15</xdr:col>
      <xdr:colOff>464899</xdr:colOff>
      <xdr:row>15</xdr:row>
      <xdr:rowOff>166327</xdr:rowOff>
    </xdr:from>
    <xdr:to>
      <xdr:col>17</xdr:col>
      <xdr:colOff>232063</xdr:colOff>
      <xdr:row>15</xdr:row>
      <xdr:rowOff>167372</xdr:rowOff>
    </xdr:to>
    <xdr:cxnSp macro="">
      <xdr:nvCxnSpPr>
        <xdr:cNvPr id="43" name="alarmSet_line"/>
        <xdr:cNvCxnSpPr>
          <a:stCxn id="42" idx="3"/>
          <a:endCxn id="49" idx="1"/>
        </xdr:cNvCxnSpPr>
      </xdr:nvCxnSpPr>
      <xdr:spPr>
        <a:xfrm flipV="1">
          <a:off x="9908256" y="3023827"/>
          <a:ext cx="991807" cy="1045"/>
        </a:xfrm>
        <a:prstGeom prst="bentConnector3">
          <a:avLst/>
        </a:prstGeom>
        <a:ln w="76200">
          <a:solidFill>
            <a:srgbClr val="007F3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374400</xdr:colOff>
      <xdr:row>25</xdr:row>
      <xdr:rowOff>85725</xdr:rowOff>
    </xdr:from>
    <xdr:to>
      <xdr:col>30</xdr:col>
      <xdr:colOff>217714</xdr:colOff>
      <xdr:row>31</xdr:row>
      <xdr:rowOff>136954</xdr:rowOff>
    </xdr:to>
    <xdr:sp macro="" textlink="">
      <xdr:nvSpPr>
        <xdr:cNvPr id="44" name="Rectangle 43"/>
        <xdr:cNvSpPr/>
      </xdr:nvSpPr>
      <xdr:spPr>
        <a:xfrm>
          <a:off x="17777936" y="4848225"/>
          <a:ext cx="1067957" cy="1194229"/>
        </a:xfrm>
        <a:prstGeom prst="rect">
          <a:avLst/>
        </a:prstGeom>
        <a:solidFill>
          <a:schemeClr val="bg1">
            <a:lumMod val="95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ysClr val="windowText" lastClr="000000"/>
              </a:solidFill>
            </a:rPr>
            <a:t>ALARM</a:t>
          </a:r>
        </a:p>
      </xdr:txBody>
    </xdr:sp>
    <xdr:clientData/>
  </xdr:twoCellAnchor>
  <xdr:twoCellAnchor>
    <xdr:from>
      <xdr:col>19</xdr:col>
      <xdr:colOff>336295</xdr:colOff>
      <xdr:row>35</xdr:row>
      <xdr:rowOff>113029</xdr:rowOff>
    </xdr:from>
    <xdr:to>
      <xdr:col>20</xdr:col>
      <xdr:colOff>272143</xdr:colOff>
      <xdr:row>35</xdr:row>
      <xdr:rowOff>113029</xdr:rowOff>
    </xdr:to>
    <xdr:cxnSp macro="">
      <xdr:nvCxnSpPr>
        <xdr:cNvPr id="63" name="Straight Connector 62"/>
        <xdr:cNvCxnSpPr>
          <a:stCxn id="45" idx="1"/>
          <a:endCxn id="45" idx="3"/>
        </xdr:cNvCxnSpPr>
      </xdr:nvCxnSpPr>
      <xdr:spPr>
        <a:xfrm>
          <a:off x="12309220" y="7266304"/>
          <a:ext cx="545448"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517072</xdr:colOff>
      <xdr:row>8</xdr:row>
      <xdr:rowOff>0</xdr:rowOff>
    </xdr:from>
    <xdr:to>
      <xdr:col>9</xdr:col>
      <xdr:colOff>204107</xdr:colOff>
      <xdr:row>9</xdr:row>
      <xdr:rowOff>108857</xdr:rowOff>
    </xdr:to>
    <xdr:sp macro="" textlink="">
      <xdr:nvSpPr>
        <xdr:cNvPr id="11" name="power_indicator"/>
        <xdr:cNvSpPr/>
      </xdr:nvSpPr>
      <xdr:spPr>
        <a:xfrm>
          <a:off x="5674179" y="1524000"/>
          <a:ext cx="299357" cy="299357"/>
        </a:xfrm>
        <a:prstGeom prst="ellipse">
          <a:avLst/>
        </a:prstGeom>
        <a:solidFill>
          <a:srgbClr val="E3E3E3"/>
        </a:solidFill>
        <a:ln>
          <a:solidFill>
            <a:schemeClr val="tx1">
              <a:lumMod val="65000"/>
              <a:lumOff val="35000"/>
            </a:schemeClr>
          </a:solidFill>
        </a:ln>
        <a:effectLst>
          <a:outerShdw blurRad="44450" dist="27940" dir="5400000" algn="ctr">
            <a:srgbClr val="000000">
              <a:alpha val="32000"/>
            </a:srgbClr>
          </a:outerShdw>
        </a:effectLst>
        <a:scene3d>
          <a:camera prst="orthographicFront"/>
          <a:lightRig rig="balanced" dir="t">
            <a:rot lat="0" lon="0" rev="8700000"/>
          </a:lightRig>
        </a:scene3d>
        <a:sp3d prstMaterial="plastic">
          <a:bevelT w="120650" h="127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530678</xdr:colOff>
      <xdr:row>0</xdr:row>
      <xdr:rowOff>149679</xdr:rowOff>
    </xdr:from>
    <xdr:to>
      <xdr:col>18</xdr:col>
      <xdr:colOff>544286</xdr:colOff>
      <xdr:row>5</xdr:row>
      <xdr:rowOff>122465</xdr:rowOff>
    </xdr:to>
    <xdr:sp macro="" textlink="">
      <xdr:nvSpPr>
        <xdr:cNvPr id="12" name="TextBox 11"/>
        <xdr:cNvSpPr txBox="1"/>
      </xdr:nvSpPr>
      <xdr:spPr>
        <a:xfrm>
          <a:off x="3850821" y="149679"/>
          <a:ext cx="7973786" cy="13198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4400" b="1" cap="none" spc="0">
              <a:ln w="10541" cmpd="sng">
                <a:solidFill>
                  <a:schemeClr val="tx2">
                    <a:lumMod val="50000"/>
                  </a:schemeClr>
                </a:solidFill>
                <a:prstDash val="solid"/>
              </a:ln>
              <a:gradFill>
                <a:gsLst>
                  <a:gs pos="0">
                    <a:schemeClr val="accent1">
                      <a:lumMod val="20000"/>
                      <a:lumOff val="80000"/>
                    </a:schemeClr>
                  </a:gs>
                  <a:gs pos="9000">
                    <a:schemeClr val="accent1">
                      <a:lumMod val="40000"/>
                      <a:lumOff val="60000"/>
                    </a:schemeClr>
                  </a:gs>
                  <a:gs pos="50000">
                    <a:schemeClr val="tx2"/>
                  </a:gs>
                  <a:gs pos="79000">
                    <a:schemeClr val="accent1">
                      <a:lumMod val="40000"/>
                      <a:lumOff val="60000"/>
                    </a:schemeClr>
                  </a:gs>
                  <a:gs pos="100000">
                    <a:schemeClr val="accent1">
                      <a:lumMod val="20000"/>
                      <a:lumOff val="80000"/>
                    </a:schemeClr>
                  </a:gs>
                </a:gsLst>
                <a:lin ang="5400000"/>
              </a:gradFill>
              <a:effectLst/>
            </a:rPr>
            <a:t>Simulation of an Alarm Circuit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sheetPr codeName="Sheet1"/>
  <dimension ref="A3:AE55"/>
  <sheetViews>
    <sheetView showGridLines="0" tabSelected="1" topLeftCell="A4" zoomScale="60" zoomScaleNormal="60" workbookViewId="0">
      <selection activeCell="A9" sqref="A9"/>
    </sheetView>
  </sheetViews>
  <sheetFormatPr defaultRowHeight="15"/>
  <cols>
    <col min="1" max="1" width="13.140625" style="2" bestFit="1" customWidth="1"/>
    <col min="2" max="3" width="9.140625" style="2"/>
    <col min="4" max="4" width="9.140625" style="2" customWidth="1"/>
    <col min="5" max="16384" width="9.140625" style="2"/>
  </cols>
  <sheetData>
    <row r="3" spans="3:31" ht="46.5">
      <c r="C3" s="3"/>
      <c r="G3" s="9"/>
      <c r="T3" s="10" t="s">
        <v>44</v>
      </c>
      <c r="U3" s="10"/>
      <c r="V3" s="10"/>
      <c r="W3" s="10"/>
      <c r="X3" s="10"/>
      <c r="Y3" s="10"/>
      <c r="Z3" s="10"/>
      <c r="AA3" s="10"/>
      <c r="AB3" s="10"/>
      <c r="AC3" s="10"/>
      <c r="AD3" s="10"/>
      <c r="AE3" s="10"/>
    </row>
    <row r="4" spans="3:31">
      <c r="C4" s="3"/>
    </row>
    <row r="5" spans="3:31">
      <c r="C5" s="3"/>
    </row>
    <row r="6" spans="3:31">
      <c r="C6" s="3"/>
    </row>
    <row r="7" spans="3:31">
      <c r="C7" s="3"/>
    </row>
    <row r="8" spans="3:31">
      <c r="C8" s="3"/>
    </row>
    <row r="9" spans="3:31">
      <c r="C9" s="3"/>
    </row>
    <row r="10" spans="3:31">
      <c r="C10" s="3"/>
    </row>
    <row r="11" spans="3:31">
      <c r="C11" s="3"/>
    </row>
    <row r="12" spans="3:31">
      <c r="C12" s="3"/>
    </row>
    <row r="13" spans="3:31">
      <c r="C13" s="3"/>
    </row>
    <row r="14" spans="3:31">
      <c r="C14" s="3"/>
    </row>
    <row r="15" spans="3:31">
      <c r="C15" s="3"/>
    </row>
    <row r="16" spans="3:31">
      <c r="C16" s="3"/>
    </row>
    <row r="17" spans="1:4">
      <c r="C17" s="3"/>
    </row>
    <row r="18" spans="1:4">
      <c r="C18" s="3"/>
    </row>
    <row r="19" spans="1:4">
      <c r="C19" s="3"/>
    </row>
    <row r="20" spans="1:4">
      <c r="C20" s="3"/>
    </row>
    <row r="21" spans="1:4">
      <c r="C21" s="3"/>
    </row>
    <row r="22" spans="1:4">
      <c r="C22" s="3"/>
    </row>
    <row r="23" spans="1:4">
      <c r="C23" s="3"/>
    </row>
    <row r="24" spans="1:4">
      <c r="C24" s="3"/>
    </row>
    <row r="27" spans="1:4">
      <c r="B27" s="4"/>
      <c r="C27" s="5"/>
      <c r="D27" s="5"/>
    </row>
    <row r="30" spans="1:4">
      <c r="A30" s="7" t="s">
        <v>0</v>
      </c>
      <c r="B30" s="7" t="s">
        <v>14</v>
      </c>
      <c r="C30" s="7"/>
      <c r="D30" s="8" t="b">
        <v>0</v>
      </c>
    </row>
    <row r="31" spans="1:4">
      <c r="A31" s="7" t="s">
        <v>1</v>
      </c>
      <c r="B31" s="7" t="s">
        <v>15</v>
      </c>
      <c r="C31" s="7"/>
      <c r="D31" s="8" t="b">
        <v>0</v>
      </c>
    </row>
    <row r="32" spans="1:4">
      <c r="A32" s="7" t="s">
        <v>12</v>
      </c>
      <c r="B32" s="7" t="s">
        <v>18</v>
      </c>
      <c r="C32" s="7"/>
      <c r="D32" s="8" t="b">
        <f>AND(Alarm,X2_Out)</f>
        <v>0</v>
      </c>
    </row>
    <row r="33" spans="1:31">
      <c r="A33" s="8" t="s">
        <v>13</v>
      </c>
      <c r="B33" s="8" t="s">
        <v>19</v>
      </c>
      <c r="C33" s="8"/>
      <c r="D33" s="8" t="b">
        <f>AND(OutPut2,Osc)</f>
        <v>0</v>
      </c>
    </row>
    <row r="34" spans="1:31">
      <c r="A34" s="8" t="s">
        <v>2</v>
      </c>
      <c r="B34" s="8" t="s">
        <v>21</v>
      </c>
      <c r="C34" s="8"/>
      <c r="D34" s="8" t="b">
        <f>AND(NOT(OR1_out),OR(trigger,PrevOut1),Power)</f>
        <v>0</v>
      </c>
    </row>
    <row r="35" spans="1:31">
      <c r="A35" s="8" t="s">
        <v>43</v>
      </c>
      <c r="B35" s="8" t="s">
        <v>22</v>
      </c>
      <c r="C35" s="8"/>
      <c r="D35" s="8" t="b">
        <f>OR(X1_Out,Silence,Acknowledge)</f>
        <v>0</v>
      </c>
    </row>
    <row r="36" spans="1:31">
      <c r="A36" s="8" t="s">
        <v>42</v>
      </c>
      <c r="B36" s="7" t="s">
        <v>23</v>
      </c>
      <c r="C36" s="7"/>
      <c r="D36" s="8" t="b">
        <f>OR(AND1_Out,AND2_Out)</f>
        <v>0</v>
      </c>
    </row>
    <row r="37" spans="1:31">
      <c r="A37" s="7" t="s">
        <v>3</v>
      </c>
      <c r="B37" s="7" t="s">
        <v>24</v>
      </c>
      <c r="C37" s="7"/>
      <c r="D37" s="8" t="b">
        <v>0</v>
      </c>
    </row>
    <row r="38" spans="1:31">
      <c r="A38" s="7" t="s">
        <v>4</v>
      </c>
      <c r="B38" s="7" t="s">
        <v>25</v>
      </c>
      <c r="C38" s="7"/>
      <c r="D38" s="8" t="b">
        <f>AND(NOT(Acknowledge),OR(Beeper,PrevOut2),Power)</f>
        <v>0</v>
      </c>
    </row>
    <row r="39" spans="1:31">
      <c r="A39" s="7" t="s">
        <v>5</v>
      </c>
      <c r="B39" s="7" t="s">
        <v>26</v>
      </c>
      <c r="C39" s="7"/>
      <c r="D39" s="7" t="b">
        <v>0</v>
      </c>
    </row>
    <row r="40" spans="1:31">
      <c r="A40" s="7" t="s">
        <v>6</v>
      </c>
      <c r="B40" s="7" t="s">
        <v>27</v>
      </c>
      <c r="C40" s="7"/>
      <c r="D40" s="7" t="b">
        <v>0</v>
      </c>
    </row>
    <row r="41" spans="1:31">
      <c r="A41" s="7" t="s">
        <v>7</v>
      </c>
      <c r="B41" s="7" t="s">
        <v>28</v>
      </c>
      <c r="C41" s="7"/>
      <c r="D41" s="7" t="b">
        <v>0</v>
      </c>
    </row>
    <row r="42" spans="1:31">
      <c r="A42" s="7" t="s">
        <v>8</v>
      </c>
      <c r="B42" s="7" t="s">
        <v>32</v>
      </c>
      <c r="C42" s="7"/>
      <c r="D42" s="7" t="b">
        <v>0</v>
      </c>
    </row>
    <row r="43" spans="1:31">
      <c r="A43" s="7" t="s">
        <v>9</v>
      </c>
      <c r="B43" s="7" t="s">
        <v>30</v>
      </c>
      <c r="C43" s="7"/>
      <c r="D43" s="7" t="b">
        <v>0</v>
      </c>
    </row>
    <row r="44" spans="1:31">
      <c r="A44" s="7" t="s">
        <v>10</v>
      </c>
      <c r="B44" s="7" t="s">
        <v>33</v>
      </c>
      <c r="C44" s="7"/>
      <c r="D44" s="8" t="b">
        <v>0</v>
      </c>
    </row>
    <row r="45" spans="1:31">
      <c r="A45" s="7" t="s">
        <v>29</v>
      </c>
      <c r="B45" s="7" t="s">
        <v>16</v>
      </c>
      <c r="C45" s="7"/>
      <c r="D45" s="8" t="b">
        <f>AND(Alarm,NOT(PrevAlarm))</f>
        <v>0</v>
      </c>
    </row>
    <row r="46" spans="1:31">
      <c r="A46" s="7" t="s">
        <v>31</v>
      </c>
      <c r="B46" s="7" t="s">
        <v>17</v>
      </c>
      <c r="C46" s="7"/>
      <c r="D46" s="8" t="b">
        <f>AND(Power,NOT(Alarm))</f>
        <v>0</v>
      </c>
    </row>
    <row r="47" spans="1:31">
      <c r="A47" s="7" t="s">
        <v>11</v>
      </c>
      <c r="B47" s="7" t="s">
        <v>20</v>
      </c>
      <c r="C47" s="7"/>
      <c r="D47" s="8" t="b">
        <f>AND(Power,NOT(OutPut2))</f>
        <v>0</v>
      </c>
    </row>
    <row r="48" spans="1:31" ht="27.75">
      <c r="G48" s="6" t="s">
        <v>34</v>
      </c>
      <c r="H48" s="1"/>
      <c r="I48" s="1"/>
      <c r="J48" s="1"/>
      <c r="K48" s="1"/>
      <c r="L48" s="1"/>
      <c r="M48" s="1"/>
      <c r="N48" s="1"/>
      <c r="O48" s="1"/>
      <c r="P48" s="1"/>
      <c r="Q48" s="1"/>
      <c r="R48" s="1"/>
      <c r="S48" s="1"/>
      <c r="T48" s="1"/>
      <c r="U48" s="1"/>
      <c r="V48" s="1"/>
      <c r="W48" s="1"/>
      <c r="X48" s="1"/>
      <c r="Y48" s="1"/>
      <c r="Z48" s="1"/>
      <c r="AA48" s="1"/>
      <c r="AB48" s="1"/>
      <c r="AC48" s="1"/>
      <c r="AD48" s="1"/>
      <c r="AE48" s="1"/>
    </row>
    <row r="49" spans="7:31" ht="38.25" customHeight="1">
      <c r="G49" s="11" t="s">
        <v>35</v>
      </c>
      <c r="H49" s="11"/>
      <c r="I49" s="11"/>
      <c r="J49" s="11"/>
      <c r="K49" s="11"/>
      <c r="L49" s="11"/>
      <c r="M49" s="11"/>
      <c r="N49" s="11"/>
      <c r="O49" s="11"/>
      <c r="P49" s="11"/>
      <c r="Q49" s="11"/>
      <c r="R49" s="11"/>
      <c r="S49" s="11"/>
      <c r="T49" s="11"/>
      <c r="U49" s="11"/>
      <c r="V49" s="11"/>
      <c r="W49" s="11"/>
      <c r="X49" s="11"/>
      <c r="Y49" s="11"/>
      <c r="Z49" s="11"/>
      <c r="AA49" s="11"/>
      <c r="AB49" s="11"/>
      <c r="AC49" s="11"/>
      <c r="AD49" s="11"/>
      <c r="AE49" s="11"/>
    </row>
    <row r="50" spans="7:31" ht="18.75">
      <c r="G50" s="12" t="s">
        <v>36</v>
      </c>
      <c r="H50" s="12"/>
      <c r="I50" s="12"/>
      <c r="J50" s="12"/>
      <c r="K50" s="12"/>
      <c r="L50" s="12"/>
      <c r="M50" s="12"/>
      <c r="N50" s="12"/>
      <c r="O50" s="12"/>
      <c r="P50" s="12"/>
      <c r="Q50" s="12"/>
      <c r="R50" s="12"/>
      <c r="S50" s="12"/>
      <c r="T50" s="12"/>
      <c r="U50" s="12"/>
      <c r="V50" s="12"/>
      <c r="W50" s="12"/>
      <c r="X50" s="12"/>
      <c r="Y50" s="12"/>
      <c r="Z50" s="12"/>
      <c r="AA50" s="12"/>
      <c r="AB50" s="12"/>
      <c r="AC50" s="12"/>
      <c r="AD50" s="12"/>
      <c r="AE50" s="12"/>
    </row>
    <row r="51" spans="7:31" ht="18.75">
      <c r="G51" s="12" t="s">
        <v>37</v>
      </c>
      <c r="H51" s="12"/>
      <c r="I51" s="12"/>
      <c r="J51" s="12"/>
      <c r="K51" s="12"/>
      <c r="L51" s="12"/>
      <c r="M51" s="12"/>
      <c r="N51" s="12"/>
      <c r="O51" s="12"/>
      <c r="P51" s="12"/>
      <c r="Q51" s="12"/>
      <c r="R51" s="12"/>
      <c r="S51" s="12"/>
      <c r="T51" s="12"/>
      <c r="U51" s="12"/>
      <c r="V51" s="12"/>
      <c r="W51" s="12"/>
      <c r="X51" s="12"/>
      <c r="Y51" s="12"/>
      <c r="Z51" s="12"/>
      <c r="AA51" s="12"/>
      <c r="AB51" s="12"/>
      <c r="AC51" s="12"/>
      <c r="AD51" s="12"/>
      <c r="AE51" s="12"/>
    </row>
    <row r="52" spans="7:31" ht="18.75">
      <c r="G52" s="12" t="s">
        <v>38</v>
      </c>
      <c r="H52" s="12"/>
      <c r="I52" s="12"/>
      <c r="J52" s="12"/>
      <c r="K52" s="12"/>
      <c r="L52" s="12"/>
      <c r="M52" s="12"/>
      <c r="N52" s="12"/>
      <c r="O52" s="12"/>
      <c r="P52" s="12"/>
      <c r="Q52" s="12"/>
      <c r="R52" s="12"/>
      <c r="S52" s="12"/>
      <c r="T52" s="12"/>
      <c r="U52" s="12"/>
      <c r="V52" s="12"/>
      <c r="W52" s="12"/>
      <c r="X52" s="12"/>
      <c r="Y52" s="12"/>
      <c r="Z52" s="12"/>
      <c r="AA52" s="12"/>
      <c r="AB52" s="12"/>
      <c r="AC52" s="12"/>
      <c r="AD52" s="12"/>
      <c r="AE52" s="12"/>
    </row>
    <row r="53" spans="7:31" ht="18.75">
      <c r="G53" s="12" t="s">
        <v>39</v>
      </c>
      <c r="H53" s="12"/>
      <c r="I53" s="12"/>
      <c r="J53" s="12"/>
      <c r="K53" s="12"/>
      <c r="L53" s="12"/>
      <c r="M53" s="12"/>
      <c r="N53" s="12"/>
      <c r="O53" s="12"/>
      <c r="P53" s="12"/>
      <c r="Q53" s="12"/>
      <c r="R53" s="12"/>
      <c r="S53" s="12"/>
      <c r="T53" s="12"/>
      <c r="U53" s="12"/>
      <c r="V53" s="12"/>
      <c r="W53" s="12"/>
      <c r="X53" s="12"/>
      <c r="Y53" s="12"/>
      <c r="Z53" s="12"/>
      <c r="AA53" s="12"/>
      <c r="AB53" s="12"/>
      <c r="AC53" s="12"/>
      <c r="AD53" s="12"/>
      <c r="AE53" s="12"/>
    </row>
    <row r="54" spans="7:31" ht="18.75">
      <c r="G54" s="12" t="s">
        <v>40</v>
      </c>
      <c r="H54" s="12"/>
      <c r="I54" s="12"/>
      <c r="J54" s="12"/>
      <c r="K54" s="12"/>
      <c r="L54" s="12"/>
      <c r="M54" s="12"/>
      <c r="N54" s="12"/>
      <c r="O54" s="12"/>
      <c r="P54" s="12"/>
      <c r="Q54" s="12"/>
      <c r="R54" s="12"/>
      <c r="S54" s="12"/>
      <c r="T54" s="12"/>
      <c r="U54" s="12"/>
      <c r="V54" s="12"/>
      <c r="W54" s="12"/>
      <c r="X54" s="12"/>
      <c r="Y54" s="12"/>
      <c r="Z54" s="12"/>
      <c r="AA54" s="12"/>
      <c r="AB54" s="12"/>
      <c r="AC54" s="12"/>
      <c r="AD54" s="12"/>
      <c r="AE54" s="12"/>
    </row>
    <row r="55" spans="7:31" ht="18.75">
      <c r="G55" s="12" t="s">
        <v>41</v>
      </c>
      <c r="H55" s="12"/>
      <c r="I55" s="12"/>
      <c r="J55" s="12"/>
      <c r="K55" s="12"/>
      <c r="L55" s="12"/>
      <c r="M55" s="12"/>
      <c r="N55" s="12"/>
      <c r="O55" s="12"/>
      <c r="P55" s="12"/>
      <c r="Q55" s="12"/>
      <c r="R55" s="12"/>
      <c r="S55" s="12"/>
      <c r="T55" s="12"/>
      <c r="U55" s="12"/>
      <c r="V55" s="12"/>
      <c r="W55" s="12"/>
      <c r="X55" s="12"/>
      <c r="Y55" s="12"/>
      <c r="Z55" s="12"/>
      <c r="AA55" s="12"/>
      <c r="AB55" s="12"/>
      <c r="AC55" s="12"/>
      <c r="AD55" s="12"/>
      <c r="AE55" s="12"/>
    </row>
  </sheetData>
  <mergeCells count="8">
    <mergeCell ref="T3:AE3"/>
    <mergeCell ref="G49:AE49"/>
    <mergeCell ref="G55:AE55"/>
    <mergeCell ref="G50:AE50"/>
    <mergeCell ref="G51:AE51"/>
    <mergeCell ref="G52:AE52"/>
    <mergeCell ref="G53:AE53"/>
    <mergeCell ref="G54:AE54"/>
  </mergeCells>
  <conditionalFormatting sqref="D30:D47">
    <cfRule type="cellIs" dxfId="0" priority="111" operator="equal">
      <formula>TRUE</formula>
    </cfRule>
  </conditionalFormatting>
  <pageMargins left="0.7" right="0.7" top="0.75" bottom="0.75" header="0.3" footer="0.3"/>
  <pageSetup orientation="portrait" horizontalDpi="300" verticalDpi="300" r:id="rId1"/>
  <drawing r:id="rId2"/>
  <legacy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18</vt:i4>
      </vt:variant>
    </vt:vector>
  </HeadingPairs>
  <TitlesOfParts>
    <vt:vector size="21" baseType="lpstr">
      <vt:lpstr>Sheet1</vt:lpstr>
      <vt:lpstr>Sheet2</vt:lpstr>
      <vt:lpstr>Sheet3</vt:lpstr>
      <vt:lpstr>Acknowledge</vt:lpstr>
      <vt:lpstr>Alarm</vt:lpstr>
      <vt:lpstr>AND1_Out</vt:lpstr>
      <vt:lpstr>AND2_Out</vt:lpstr>
      <vt:lpstr>Beeper</vt:lpstr>
      <vt:lpstr>OR1_out</vt:lpstr>
      <vt:lpstr>OR2_out</vt:lpstr>
      <vt:lpstr>Osc</vt:lpstr>
      <vt:lpstr>OutPut2</vt:lpstr>
      <vt:lpstr>Power</vt:lpstr>
      <vt:lpstr>PrevAck</vt:lpstr>
      <vt:lpstr>PrevAlarm</vt:lpstr>
      <vt:lpstr>PrevOut1</vt:lpstr>
      <vt:lpstr>PrevOut2</vt:lpstr>
      <vt:lpstr>Silence</vt:lpstr>
      <vt:lpstr>trigger</vt:lpstr>
      <vt:lpstr>X1_Out</vt:lpstr>
      <vt:lpstr>X2_Out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Nitin</dc:creator>
  <cp:lastModifiedBy>DELL</cp:lastModifiedBy>
  <dcterms:created xsi:type="dcterms:W3CDTF">2012-04-30T12:48:47Z</dcterms:created>
  <dcterms:modified xsi:type="dcterms:W3CDTF">2020-08-28T13:33:25Z</dcterms:modified>
</cp:coreProperties>
</file>